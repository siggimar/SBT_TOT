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12.xml" ContentType="application/vnd.openxmlformats-officedocument.drawingml.chart+xml"/>
  <Override PartName="/xl/drawings/drawing5.xml" ContentType="application/vnd.openxmlformats-officedocument.drawingml.chartshapes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ml.chartshapes+xml"/>
  <Override PartName="/xl/charts/chart1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5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harts/chart16.xml" ContentType="application/vnd.openxmlformats-officedocument.drawingml.chart+xml"/>
  <Override PartName="/xl/drawings/drawing8.xml" ContentType="application/vnd.openxmlformats-officedocument.drawingml.chartshapes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ctrlProps/ctrlProp5.xml" ContentType="application/vnd.ms-excel.controlproperties+xml"/>
  <Override PartName="/xl/drawings/drawing11.xml" ContentType="application/vnd.openxmlformats-officedocument.drawing+xml"/>
  <Override PartName="/xl/ctrlProps/ctrlProp6.xml" ContentType="application/vnd.ms-excel.controlpropertie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172E4E1F-E5EF-0DF4-AAB5-FFAA808CBF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O:\MR\Vegut\LGA10 Klima og geofag\1 Geoteknikk\99 Min katalog\Siggi\Utvikling\total-ark\"/>
    </mc:Choice>
  </mc:AlternateContent>
  <xr:revisionPtr revIDLastSave="0" documentId="13_ncr:1_{8DE43965-9629-423E-AB09-EACA759DACD2}" xr6:coauthVersionLast="47" xr6:coauthVersionMax="47" xr10:uidLastSave="{00000000-0000-0000-0000-000000000000}"/>
  <bookViews>
    <workbookView xWindow="-120" yWindow="-120" windowWidth="29040" windowHeight="15840" tabRatio="810" xr2:uid="{497158A5-49B4-4887-821A-8C3B069EED37}"/>
  </bookViews>
  <sheets>
    <sheet name="General" sheetId="1" r:id="rId1"/>
    <sheet name="1.Stresses" sheetId="2" r:id="rId2"/>
    <sheet name="2.Profile" sheetId="12" r:id="rId3"/>
    <sheet name="3.Valsson et al.'24-chart" sheetId="13" r:id="rId4"/>
    <sheet name="4.Valsson et al.'24-dtw" sheetId="20" r:id="rId5"/>
    <sheet name="Calculations" sheetId="3" r:id="rId6"/>
    <sheet name="Interpolation" sheetId="11" r:id="rId7"/>
    <sheet name="2D Classification" sheetId="16" r:id="rId8"/>
    <sheet name="DTW Classification" sheetId="17" r:id="rId9"/>
    <sheet name="2D class-methods" sheetId="18" r:id="rId10"/>
    <sheet name="DTW class-methods" sheetId="19" r:id="rId11"/>
    <sheet name="Version" sheetId="21" r:id="rId12"/>
    <sheet name="References" sheetId="22" r:id="rId13"/>
  </sheets>
  <functionGroups builtInGroupCount="19"/>
  <definedNames>
    <definedName name="_xlnm.Print_Area" localSheetId="1">'1.Stresses'!$A$1:$M$52</definedName>
    <definedName name="_xlnm.Print_Area" localSheetId="2">'2.Profile'!$A$1:$M$52</definedName>
    <definedName name="_xlnm.Print_Area" localSheetId="3">'3.Valsson et al.''24-chart'!$A$1:$M$52</definedName>
    <definedName name="_xlnm.Print_Area" localSheetId="4">'4.Valsson et al.''24-dtw'!$A$1:$M$52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1" i="3" l="1"/>
  <c r="Y20" i="3"/>
  <c r="T4" i="12"/>
  <c r="V14" i="3"/>
  <c r="T5" i="3"/>
  <c r="R4" i="12" s="1"/>
  <c r="T4" i="3"/>
  <c r="U20" i="20"/>
  <c r="U21" i="20" s="1"/>
  <c r="G5" i="19"/>
  <c r="F3" i="19"/>
  <c r="F4" i="19"/>
  <c r="F5" i="19"/>
  <c r="F2" i="19"/>
  <c r="G2" i="19"/>
  <c r="G4" i="19"/>
  <c r="G3" i="19"/>
  <c r="L16" i="17" l="1"/>
  <c r="L17" i="17" s="1"/>
  <c r="H52" i="20"/>
  <c r="G52" i="20"/>
  <c r="C52" i="20"/>
  <c r="J51" i="20"/>
  <c r="H51" i="20"/>
  <c r="G51" i="20"/>
  <c r="E51" i="20"/>
  <c r="C51" i="20"/>
  <c r="J50" i="20"/>
  <c r="G50" i="20"/>
  <c r="E50" i="20"/>
  <c r="C50" i="20"/>
  <c r="G49" i="20"/>
  <c r="E49" i="20"/>
  <c r="C49" i="20"/>
  <c r="J48" i="20"/>
  <c r="A48" i="20"/>
  <c r="A47" i="20"/>
  <c r="A46" i="20"/>
  <c r="J45" i="20"/>
  <c r="I45" i="20"/>
  <c r="A45" i="20"/>
  <c r="A44" i="20"/>
  <c r="K20" i="17"/>
  <c r="J20" i="17"/>
  <c r="I20" i="17"/>
  <c r="A20" i="17"/>
  <c r="L20" i="17" s="1"/>
  <c r="C14" i="17"/>
  <c r="B14" i="17"/>
  <c r="C13" i="17"/>
  <c r="B13" i="17"/>
  <c r="C12" i="17"/>
  <c r="B12" i="17"/>
  <c r="C11" i="17"/>
  <c r="B11" i="17"/>
  <c r="C10" i="17"/>
  <c r="B10" i="17"/>
  <c r="C9" i="17"/>
  <c r="B9" i="17"/>
  <c r="C8" i="17"/>
  <c r="B8" i="17"/>
  <c r="C7" i="17"/>
  <c r="B7" i="17"/>
  <c r="C6" i="17"/>
  <c r="B6" i="17"/>
  <c r="C5" i="17"/>
  <c r="B5" i="17"/>
  <c r="C4" i="17"/>
  <c r="B4" i="17"/>
  <c r="C3" i="17"/>
  <c r="B3" i="17"/>
  <c r="A20" i="16"/>
  <c r="F20" i="16" s="1"/>
  <c r="M10" i="3"/>
  <c r="M9" i="3"/>
  <c r="N10" i="3"/>
  <c r="X3" i="13"/>
  <c r="L16" i="16" s="1"/>
  <c r="L17" i="16" s="1"/>
  <c r="AL21" i="3"/>
  <c r="AL20" i="3"/>
  <c r="AK21" i="3"/>
  <c r="AK20" i="3"/>
  <c r="K9" i="3"/>
  <c r="J7" i="3"/>
  <c r="Q4" i="12"/>
  <c r="I5" i="3"/>
  <c r="H5" i="3"/>
  <c r="AN12" i="3" s="1"/>
  <c r="I4" i="3"/>
  <c r="AL12" i="3"/>
  <c r="AL11" i="3"/>
  <c r="AL10" i="3"/>
  <c r="AL9" i="3"/>
  <c r="AP14" i="3"/>
  <c r="AN14" i="3"/>
  <c r="AM11" i="3" s="1"/>
  <c r="B3" i="16"/>
  <c r="B4" i="16"/>
  <c r="B5" i="16"/>
  <c r="B6" i="16"/>
  <c r="B7" i="16"/>
  <c r="B8" i="16"/>
  <c r="B9" i="16"/>
  <c r="B10" i="16"/>
  <c r="B11" i="16"/>
  <c r="B12" i="16"/>
  <c r="B13" i="16"/>
  <c r="B14" i="16"/>
  <c r="C4" i="16"/>
  <c r="C5" i="16"/>
  <c r="C6" i="16"/>
  <c r="C7" i="16"/>
  <c r="C8" i="16"/>
  <c r="C9" i="16"/>
  <c r="C10" i="16"/>
  <c r="C11" i="16"/>
  <c r="C12" i="16"/>
  <c r="C13" i="16"/>
  <c r="C14" i="16"/>
  <c r="C3" i="16"/>
  <c r="B20" i="17" l="1"/>
  <c r="D20" i="17"/>
  <c r="E20" i="17"/>
  <c r="C20" i="17"/>
  <c r="F20" i="17"/>
  <c r="G20" i="17"/>
  <c r="H20" i="17"/>
  <c r="G20" i="16"/>
  <c r="K20" i="16"/>
  <c r="D20" i="16"/>
  <c r="C20" i="16"/>
  <c r="E20" i="16"/>
  <c r="B20" i="16"/>
  <c r="L20" i="16"/>
  <c r="J20" i="16"/>
  <c r="I20" i="16"/>
  <c r="H20" i="16"/>
  <c r="AM12" i="3"/>
  <c r="J51" i="13" l="1"/>
  <c r="H52" i="13"/>
  <c r="H51" i="13"/>
  <c r="A48" i="13"/>
  <c r="A44" i="13"/>
  <c r="G52" i="13"/>
  <c r="C52" i="13"/>
  <c r="G51" i="13"/>
  <c r="E51" i="13"/>
  <c r="C51" i="13"/>
  <c r="J50" i="13"/>
  <c r="G50" i="13"/>
  <c r="E50" i="13"/>
  <c r="C50" i="13"/>
  <c r="G49" i="13"/>
  <c r="E49" i="13"/>
  <c r="C49" i="13"/>
  <c r="J48" i="13"/>
  <c r="A47" i="13"/>
  <c r="A46" i="13"/>
  <c r="J45" i="13"/>
  <c r="I45" i="13"/>
  <c r="A45" i="13"/>
  <c r="V21" i="3"/>
  <c r="S21" i="3"/>
  <c r="AM3" i="3"/>
  <c r="AK3" i="3"/>
  <c r="AL3" i="3"/>
  <c r="C23" i="1"/>
  <c r="V20" i="3" l="1"/>
  <c r="D20" i="11"/>
  <c r="Z6" i="3"/>
  <c r="H4" i="3"/>
  <c r="AA13" i="3"/>
  <c r="X5" i="3" s="1"/>
  <c r="X6" i="3" s="1"/>
  <c r="Z13" i="3"/>
  <c r="W5" i="3" s="1"/>
  <c r="W6" i="3" s="1"/>
  <c r="Y13" i="3"/>
  <c r="X14" i="3"/>
  <c r="W14" i="3"/>
  <c r="T14" i="3"/>
  <c r="T20" i="3" s="1"/>
  <c r="AI20" i="3" s="1"/>
  <c r="R14" i="3"/>
  <c r="R20" i="3" s="1"/>
  <c r="U21" i="3"/>
  <c r="U20" i="3"/>
  <c r="G10" i="3"/>
  <c r="H52" i="12"/>
  <c r="H51" i="12"/>
  <c r="J51" i="12"/>
  <c r="A48" i="12"/>
  <c r="A44" i="12"/>
  <c r="G52" i="12"/>
  <c r="C52" i="12"/>
  <c r="G51" i="12"/>
  <c r="E51" i="12"/>
  <c r="C51" i="12"/>
  <c r="J50" i="12"/>
  <c r="G50" i="12"/>
  <c r="E50" i="12"/>
  <c r="C50" i="12"/>
  <c r="G49" i="12"/>
  <c r="E49" i="12"/>
  <c r="C49" i="12"/>
  <c r="J48" i="12"/>
  <c r="A47" i="12"/>
  <c r="A46" i="12"/>
  <c r="J45" i="12"/>
  <c r="I45" i="12"/>
  <c r="A45" i="12"/>
  <c r="AI5" i="3"/>
  <c r="AI4" i="3" s="1"/>
  <c r="AH5" i="3"/>
  <c r="AH11" i="3"/>
  <c r="AH7" i="3" s="1"/>
  <c r="G9" i="3"/>
  <c r="H9" i="3" s="1"/>
  <c r="M45" i="20" s="1"/>
  <c r="H8" i="3"/>
  <c r="AD13" i="3"/>
  <c r="AE5" i="3"/>
  <c r="AE9" i="3" s="1"/>
  <c r="AE10" i="3" s="1"/>
  <c r="AE4" i="3"/>
  <c r="AB21" i="3"/>
  <c r="R6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7" i="2"/>
  <c r="P3" i="2"/>
  <c r="T3" i="2"/>
  <c r="AB20" i="3"/>
  <c r="AB11" i="3" s="1"/>
  <c r="E2" i="11"/>
  <c r="D2" i="11"/>
  <c r="H20" i="11"/>
  <c r="H21" i="11" s="1"/>
  <c r="H22" i="11" s="1"/>
  <c r="H23" i="11" s="1"/>
  <c r="H24" i="11" s="1"/>
  <c r="H25" i="11" s="1"/>
  <c r="H26" i="11" s="1"/>
  <c r="H27" i="11" s="1"/>
  <c r="H28" i="11" s="1"/>
  <c r="H29" i="11" s="1"/>
  <c r="H30" i="11" s="1"/>
  <c r="H31" i="11" s="1"/>
  <c r="H32" i="11" s="1"/>
  <c r="H33" i="11" s="1"/>
  <c r="H34" i="11" s="1"/>
  <c r="H35" i="11" s="1"/>
  <c r="H36" i="11" s="1"/>
  <c r="H37" i="11" s="1"/>
  <c r="H38" i="11" s="1"/>
  <c r="H39" i="11" s="1"/>
  <c r="H40" i="11" s="1"/>
  <c r="H41" i="11" s="1"/>
  <c r="H42" i="11" s="1"/>
  <c r="H43" i="11" s="1"/>
  <c r="H44" i="11" s="1"/>
  <c r="H45" i="11" s="1"/>
  <c r="H46" i="11" s="1"/>
  <c r="H47" i="11" s="1"/>
  <c r="H48" i="11" s="1"/>
  <c r="H49" i="11" s="1"/>
  <c r="H50" i="11" s="1"/>
  <c r="H51" i="11" s="1"/>
  <c r="H52" i="11" s="1"/>
  <c r="H53" i="11" s="1"/>
  <c r="H54" i="11" s="1"/>
  <c r="H55" i="11" s="1"/>
  <c r="H56" i="11" s="1"/>
  <c r="H57" i="11" s="1"/>
  <c r="H58" i="11" s="1"/>
  <c r="H59" i="11" s="1"/>
  <c r="H60" i="11" s="1"/>
  <c r="H61" i="11" s="1"/>
  <c r="H62" i="11" s="1"/>
  <c r="H63" i="11" s="1"/>
  <c r="H64" i="11" s="1"/>
  <c r="H65" i="11" s="1"/>
  <c r="H66" i="11" s="1"/>
  <c r="H67" i="11" s="1"/>
  <c r="H68" i="11" s="1"/>
  <c r="H69" i="11" s="1"/>
  <c r="H70" i="11" s="1"/>
  <c r="H71" i="11" s="1"/>
  <c r="H72" i="11" s="1"/>
  <c r="H73" i="11" s="1"/>
  <c r="H74" i="11" s="1"/>
  <c r="H75" i="11" s="1"/>
  <c r="H76" i="11" s="1"/>
  <c r="H77" i="11" s="1"/>
  <c r="H78" i="11" s="1"/>
  <c r="H79" i="11" s="1"/>
  <c r="H80" i="11" s="1"/>
  <c r="H81" i="11" s="1"/>
  <c r="H82" i="11" s="1"/>
  <c r="H83" i="11" s="1"/>
  <c r="H84" i="11" s="1"/>
  <c r="H85" i="11" s="1"/>
  <c r="H86" i="11" s="1"/>
  <c r="H87" i="11" s="1"/>
  <c r="H88" i="11" s="1"/>
  <c r="H89" i="11" s="1"/>
  <c r="H90" i="11" s="1"/>
  <c r="H91" i="11" s="1"/>
  <c r="H92" i="11" s="1"/>
  <c r="H93" i="11" s="1"/>
  <c r="H94" i="11" s="1"/>
  <c r="H95" i="11" s="1"/>
  <c r="H96" i="11" s="1"/>
  <c r="H97" i="11" s="1"/>
  <c r="H98" i="11" s="1"/>
  <c r="H99" i="11" s="1"/>
  <c r="H100" i="11" s="1"/>
  <c r="H101" i="11" s="1"/>
  <c r="H102" i="11" s="1"/>
  <c r="H103" i="11" s="1"/>
  <c r="H104" i="11" s="1"/>
  <c r="H105" i="11" s="1"/>
  <c r="H106" i="11" s="1"/>
  <c r="H107" i="11" s="1"/>
  <c r="H108" i="11" s="1"/>
  <c r="H109" i="11" s="1"/>
  <c r="H110" i="11" s="1"/>
  <c r="H111" i="11" s="1"/>
  <c r="H112" i="11" s="1"/>
  <c r="H113" i="11" s="1"/>
  <c r="H114" i="11" s="1"/>
  <c r="H115" i="11" s="1"/>
  <c r="H116" i="11" s="1"/>
  <c r="H117" i="11" s="1"/>
  <c r="H118" i="11" s="1"/>
  <c r="H119" i="11" s="1"/>
  <c r="H120" i="11" s="1"/>
  <c r="G20" i="11"/>
  <c r="G21" i="11" s="1"/>
  <c r="C20" i="11"/>
  <c r="C21" i="11" s="1"/>
  <c r="C22" i="11" s="1"/>
  <c r="C23" i="11" s="1"/>
  <c r="C24" i="11" s="1"/>
  <c r="C25" i="11" s="1"/>
  <c r="C26" i="11" s="1"/>
  <c r="C27" i="11" s="1"/>
  <c r="C28" i="11" s="1"/>
  <c r="C29" i="11" s="1"/>
  <c r="C30" i="11" s="1"/>
  <c r="C31" i="11" s="1"/>
  <c r="C32" i="11" s="1"/>
  <c r="C33" i="11" s="1"/>
  <c r="C34" i="11" s="1"/>
  <c r="C35" i="11" s="1"/>
  <c r="C36" i="11" s="1"/>
  <c r="C37" i="11" s="1"/>
  <c r="C38" i="11" s="1"/>
  <c r="C39" i="11" s="1"/>
  <c r="C40" i="11" s="1"/>
  <c r="C41" i="11" s="1"/>
  <c r="C42" i="11" s="1"/>
  <c r="C43" i="11" s="1"/>
  <c r="C44" i="11" s="1"/>
  <c r="C45" i="11" s="1"/>
  <c r="C46" i="11" s="1"/>
  <c r="C47" i="11" s="1"/>
  <c r="C48" i="11" s="1"/>
  <c r="C49" i="11" s="1"/>
  <c r="C50" i="11" s="1"/>
  <c r="C51" i="11" s="1"/>
  <c r="C52" i="11" s="1"/>
  <c r="C53" i="11" s="1"/>
  <c r="C54" i="11" s="1"/>
  <c r="C55" i="11" s="1"/>
  <c r="C56" i="11" s="1"/>
  <c r="C57" i="11" s="1"/>
  <c r="C58" i="11" s="1"/>
  <c r="C59" i="11" s="1"/>
  <c r="C60" i="11" s="1"/>
  <c r="C61" i="11" s="1"/>
  <c r="C62" i="11" s="1"/>
  <c r="C63" i="11" s="1"/>
  <c r="C64" i="11" s="1"/>
  <c r="C65" i="11" s="1"/>
  <c r="C66" i="11" s="1"/>
  <c r="C67" i="11" s="1"/>
  <c r="C68" i="11" s="1"/>
  <c r="C69" i="11" s="1"/>
  <c r="C70" i="11" s="1"/>
  <c r="C71" i="11" s="1"/>
  <c r="C72" i="11" s="1"/>
  <c r="C73" i="11" s="1"/>
  <c r="C74" i="11" s="1"/>
  <c r="C75" i="11" s="1"/>
  <c r="C76" i="11" s="1"/>
  <c r="C77" i="11" s="1"/>
  <c r="C78" i="11" s="1"/>
  <c r="C79" i="11" s="1"/>
  <c r="C80" i="11" s="1"/>
  <c r="C81" i="11" s="1"/>
  <c r="C82" i="11" s="1"/>
  <c r="C83" i="11" s="1"/>
  <c r="C84" i="11" s="1"/>
  <c r="C85" i="11" s="1"/>
  <c r="C86" i="11" s="1"/>
  <c r="C87" i="11" s="1"/>
  <c r="C88" i="11" s="1"/>
  <c r="C89" i="11" s="1"/>
  <c r="C90" i="11" s="1"/>
  <c r="C91" i="11" s="1"/>
  <c r="C92" i="11" s="1"/>
  <c r="C93" i="11" s="1"/>
  <c r="C94" i="11" s="1"/>
  <c r="C95" i="11" s="1"/>
  <c r="C96" i="11" s="1"/>
  <c r="C97" i="11" s="1"/>
  <c r="C98" i="11" s="1"/>
  <c r="C99" i="11" s="1"/>
  <c r="C100" i="11" s="1"/>
  <c r="C101" i="11" s="1"/>
  <c r="C102" i="11" s="1"/>
  <c r="C103" i="11" s="1"/>
  <c r="C104" i="11" s="1"/>
  <c r="C105" i="11" s="1"/>
  <c r="C106" i="11" s="1"/>
  <c r="C107" i="11" s="1"/>
  <c r="C108" i="11" s="1"/>
  <c r="C109" i="11" s="1"/>
  <c r="C110" i="11" s="1"/>
  <c r="C111" i="11" s="1"/>
  <c r="C112" i="11" s="1"/>
  <c r="C113" i="11" s="1"/>
  <c r="C114" i="11" s="1"/>
  <c r="C115" i="11" s="1"/>
  <c r="C116" i="11" s="1"/>
  <c r="C117" i="11" s="1"/>
  <c r="C118" i="11" s="1"/>
  <c r="C119" i="11" s="1"/>
  <c r="C120" i="11" s="1"/>
  <c r="A21" i="11"/>
  <c r="A20" i="11"/>
  <c r="D21" i="1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D110" i="11" s="1"/>
  <c r="D111" i="11" s="1"/>
  <c r="D112" i="11" s="1"/>
  <c r="D113" i="11" s="1"/>
  <c r="D114" i="11" s="1"/>
  <c r="D115" i="11" s="1"/>
  <c r="D116" i="11" s="1"/>
  <c r="D117" i="11" s="1"/>
  <c r="D118" i="11" s="1"/>
  <c r="D119" i="11" s="1"/>
  <c r="D120" i="11" s="1"/>
  <c r="Z5" i="3" l="1"/>
  <c r="AN11" i="3"/>
  <c r="M45" i="2"/>
  <c r="M45" i="13"/>
  <c r="R21" i="3"/>
  <c r="T21" i="3"/>
  <c r="AI21" i="3" s="1"/>
  <c r="Y5" i="3"/>
  <c r="Y6" i="3" s="1"/>
  <c r="AL6" i="3"/>
  <c r="AM6" i="3" s="1"/>
  <c r="AL5" i="3"/>
  <c r="AM5" i="3" s="1"/>
  <c r="AH8" i="3"/>
  <c r="W20" i="3"/>
  <c r="Z20" i="3" s="1"/>
  <c r="W21" i="3"/>
  <c r="Z21" i="3" s="1"/>
  <c r="X21" i="3"/>
  <c r="AA21" i="3" s="1"/>
  <c r="X20" i="3"/>
  <c r="AA20" i="3" s="1"/>
  <c r="AH6" i="3"/>
  <c r="AH10" i="3"/>
  <c r="AH9" i="3"/>
  <c r="AE6" i="3"/>
  <c r="M45" i="12"/>
  <c r="G22" i="11"/>
  <c r="AF20" i="3"/>
  <c r="AF21" i="3"/>
  <c r="E21" i="11"/>
  <c r="AG21" i="3" s="1"/>
  <c r="E20" i="11"/>
  <c r="AG20" i="3" s="1"/>
  <c r="AP20" i="3" l="1"/>
  <c r="AP21" i="3"/>
  <c r="G23" i="11"/>
  <c r="M20" i="16" l="1"/>
  <c r="M20" i="17"/>
  <c r="G24" i="11"/>
  <c r="G25" i="11" l="1"/>
  <c r="G26" i="11" l="1"/>
  <c r="G27" i="11" l="1"/>
  <c r="G28" i="11" l="1"/>
  <c r="G29" i="11" l="1"/>
  <c r="G30" i="11" l="1"/>
  <c r="G31" i="11" l="1"/>
  <c r="G32" i="11" l="1"/>
  <c r="G33" i="11" s="1"/>
  <c r="G34" i="11" s="1"/>
  <c r="G35" i="11" s="1"/>
  <c r="G36" i="11" s="1"/>
  <c r="G37" i="11" s="1"/>
  <c r="G38" i="11" s="1"/>
  <c r="G39" i="11" s="1"/>
  <c r="G40" i="11" s="1"/>
  <c r="G41" i="11" s="1"/>
  <c r="G42" i="11" s="1"/>
  <c r="G43" i="11" s="1"/>
  <c r="G44" i="11" s="1"/>
  <c r="G45" i="11" s="1"/>
  <c r="G46" i="11" s="1"/>
  <c r="G47" i="11" s="1"/>
  <c r="G48" i="11" s="1"/>
  <c r="G49" i="11" s="1"/>
  <c r="G50" i="11" s="1"/>
  <c r="G51" i="11" s="1"/>
  <c r="G52" i="11" s="1"/>
  <c r="G53" i="11" s="1"/>
  <c r="G54" i="11" s="1"/>
  <c r="G55" i="11" s="1"/>
  <c r="G56" i="11" s="1"/>
  <c r="G57" i="11" s="1"/>
  <c r="G58" i="11" s="1"/>
  <c r="G59" i="11" s="1"/>
  <c r="G60" i="11" s="1"/>
  <c r="G61" i="11" s="1"/>
  <c r="G62" i="11" s="1"/>
  <c r="G63" i="11" s="1"/>
  <c r="G64" i="11" s="1"/>
  <c r="G65" i="11" s="1"/>
  <c r="G66" i="11" s="1"/>
  <c r="G67" i="11" s="1"/>
  <c r="G68" i="11" s="1"/>
  <c r="G69" i="11" s="1"/>
  <c r="G70" i="11" s="1"/>
  <c r="G71" i="11" s="1"/>
  <c r="G72" i="11" s="1"/>
  <c r="G73" i="11" s="1"/>
  <c r="G74" i="11" s="1"/>
  <c r="G75" i="11" s="1"/>
  <c r="G76" i="11" s="1"/>
  <c r="G77" i="11" s="1"/>
  <c r="G78" i="11" s="1"/>
  <c r="G79" i="11" s="1"/>
  <c r="G80" i="11" s="1"/>
  <c r="G81" i="11" s="1"/>
  <c r="G82" i="11" s="1"/>
  <c r="G83" i="11" s="1"/>
  <c r="G84" i="11" s="1"/>
  <c r="G85" i="11" s="1"/>
  <c r="G86" i="11" s="1"/>
  <c r="G87" i="11" s="1"/>
  <c r="G88" i="11" s="1"/>
  <c r="G89" i="11" s="1"/>
  <c r="G90" i="11" s="1"/>
  <c r="G91" i="11" s="1"/>
  <c r="G92" i="11" s="1"/>
  <c r="G93" i="11" s="1"/>
  <c r="G94" i="11" s="1"/>
  <c r="G95" i="11" s="1"/>
  <c r="G96" i="11" s="1"/>
  <c r="G97" i="11" s="1"/>
  <c r="G98" i="11" s="1"/>
  <c r="G99" i="11" s="1"/>
  <c r="G100" i="11" s="1"/>
  <c r="G101" i="11" s="1"/>
  <c r="G102" i="11" s="1"/>
  <c r="G103" i="11" s="1"/>
  <c r="G104" i="11" s="1"/>
  <c r="G105" i="11" s="1"/>
  <c r="G106" i="11" s="1"/>
  <c r="G107" i="11" s="1"/>
  <c r="G108" i="11" s="1"/>
  <c r="G109" i="11" s="1"/>
  <c r="G110" i="11" s="1"/>
  <c r="G111" i="11" s="1"/>
  <c r="G112" i="11" s="1"/>
  <c r="G113" i="11" s="1"/>
  <c r="G114" i="11" s="1"/>
  <c r="G115" i="11" s="1"/>
  <c r="G116" i="11" s="1"/>
  <c r="G117" i="11" s="1"/>
  <c r="G118" i="11" s="1"/>
  <c r="G119" i="11" s="1"/>
  <c r="G120" i="11" s="1"/>
  <c r="I20" i="11" s="1"/>
  <c r="AC20" i="3" s="1"/>
  <c r="AI11" i="3" s="1"/>
  <c r="AI7" i="3" l="1"/>
  <c r="AI8" i="3"/>
  <c r="AI9" i="3"/>
  <c r="AI10" i="3"/>
  <c r="AI6" i="3"/>
  <c r="I21" i="11"/>
  <c r="AC21" i="3" s="1"/>
  <c r="AH13" i="3" l="1"/>
  <c r="AE14" i="3" s="1"/>
  <c r="AE20" i="3" s="1"/>
  <c r="AE21" i="3" l="1"/>
  <c r="AE11" i="3" s="1"/>
  <c r="AD9" i="3" s="1"/>
  <c r="AH20" i="3"/>
  <c r="AJ20" i="3" s="1"/>
  <c r="AE12" i="3" l="1"/>
  <c r="AD10" i="3" s="1"/>
  <c r="AH21" i="3"/>
  <c r="AJ21" i="3" s="1"/>
  <c r="J51" i="2"/>
  <c r="J48" i="2"/>
  <c r="D6" i="1"/>
  <c r="D8" i="1"/>
  <c r="C8" i="1" s="1"/>
  <c r="J46" i="20" s="1"/>
  <c r="C19" i="1"/>
  <c r="J49" i="20" s="1"/>
  <c r="C18" i="1"/>
  <c r="E52" i="20" s="1"/>
  <c r="E52" i="13" l="1"/>
  <c r="J49" i="13"/>
  <c r="J46" i="13"/>
  <c r="E52" i="2"/>
  <c r="E52" i="12"/>
  <c r="H10" i="3"/>
  <c r="J46" i="12"/>
  <c r="J49" i="2"/>
  <c r="J49" i="12"/>
  <c r="J46" i="2"/>
  <c r="J50" i="2"/>
  <c r="E51" i="2" l="1"/>
  <c r="H52" i="2" l="1"/>
  <c r="G52" i="2"/>
  <c r="C52" i="2"/>
  <c r="H51" i="2"/>
  <c r="G51" i="2"/>
  <c r="G50" i="2"/>
  <c r="E50" i="2"/>
  <c r="C50" i="2"/>
  <c r="G49" i="2"/>
  <c r="E49" i="2"/>
  <c r="C49" i="2"/>
  <c r="A48" i="2"/>
  <c r="A47" i="2"/>
  <c r="A46" i="2"/>
  <c r="J45" i="2"/>
  <c r="I45" i="2"/>
  <c r="A45" i="2"/>
  <c r="A44" i="2"/>
  <c r="I6" i="1"/>
  <c r="C51" i="2"/>
  <c r="AL13" i="3" l="1"/>
  <c r="AM21" i="3" s="1"/>
  <c r="AN21" i="3" s="1"/>
  <c r="AO21" i="3" s="1"/>
  <c r="AM20" i="3"/>
  <c r="AN20" i="3" s="1"/>
  <c r="AO20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Sigurdur Már Valsson</author>
    <author>Sigurdur Mar Valsson</author>
    <author>Valsson Sigurdur Már</author>
  </authors>
  <commentList>
    <comment ref="C24" authorId="0" shapeId="0" xr:uid="{74064D1A-B4E8-48FC-B8D7-885235F75DB8}">
      <text>
        <r>
          <rPr>
            <sz val="9"/>
            <color indexed="81"/>
            <rFont val="Tahoma"/>
            <family val="2"/>
          </rPr>
          <t>Vertical axis label on figures</t>
        </r>
      </text>
    </comment>
    <comment ref="C27" authorId="1" shapeId="0" xr:uid="{53531C80-A098-4C1A-AB53-FCA2EFF8A739}">
      <text>
        <r>
          <rPr>
            <b/>
            <sz val="9"/>
            <color indexed="81"/>
            <rFont val="Tahoma"/>
            <family val="2"/>
          </rPr>
          <t>Suggested lower bound</t>
        </r>
        <r>
          <rPr>
            <sz val="9"/>
            <color indexed="81"/>
            <rFont val="Tahoma"/>
            <family val="2"/>
          </rPr>
          <t xml:space="preserve">
Lower bound for suggested feed force curve shift.  
A small positive value is set to avoid log-plotting problems.
</t>
        </r>
      </text>
    </comment>
    <comment ref="C28" authorId="1" shapeId="0" xr:uid="{9C4E37D2-3250-4D3D-8DF5-D65753B80334}">
      <text>
        <r>
          <rPr>
            <b/>
            <sz val="9"/>
            <color indexed="81"/>
            <rFont val="Tahoma"/>
            <family val="2"/>
          </rPr>
          <t>Lowest D on figures</t>
        </r>
        <r>
          <rPr>
            <sz val="9"/>
            <color indexed="81"/>
            <rFont val="Tahoma"/>
            <family val="2"/>
          </rPr>
          <t xml:space="preserve">
Places an transparent point at just above this depth on all figures.
Automatic scaling is used on axis,  which guarantees a max depth of at least the typed value. Could however be a little deeper.</t>
        </r>
      </text>
    </comment>
    <comment ref="F31" authorId="2" shapeId="0" xr:uid="{EA83C48E-6A12-4D10-9647-D6E3AB1A1C35}">
      <text>
        <r>
          <rPr>
            <b/>
            <sz val="9"/>
            <color indexed="81"/>
            <rFont val="Tahoma"/>
            <family val="2"/>
          </rPr>
          <t>Valsson Sigurdur Már:</t>
        </r>
        <r>
          <rPr>
            <sz val="9"/>
            <color indexed="81"/>
            <rFont val="Tahoma"/>
            <family val="2"/>
          </rPr>
          <t xml:space="preserve">
Appears as green text above the title section in sheet</t>
        </r>
      </text>
    </comment>
    <comment ref="G31" authorId="2" shapeId="0" xr:uid="{3F4DA5D7-255B-4DF2-9CCF-6B8819710E45}">
      <text>
        <r>
          <rPr>
            <b/>
            <sz val="9"/>
            <color indexed="81"/>
            <rFont val="Tahoma"/>
            <family val="2"/>
          </rPr>
          <t>Valsson Sigurdur Már:</t>
        </r>
        <r>
          <rPr>
            <sz val="9"/>
            <color indexed="81"/>
            <rFont val="Tahoma"/>
            <family val="2"/>
          </rPr>
          <t xml:space="preserve">
Not shown on any figure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Valsson Sigurdur Már</author>
    <author>Sigurdur Mar Valsson</author>
  </authors>
  <commentList>
    <comment ref="P5" authorId="0" shapeId="0" xr:uid="{92CE982C-822B-4766-B697-475B070F8F2B}">
      <text>
        <r>
          <rPr>
            <sz val="9"/>
            <color indexed="81"/>
            <rFont val="Tahoma"/>
            <family val="2"/>
          </rPr>
          <t xml:space="preserve">Write the groundwater level.
</t>
        </r>
        <r>
          <rPr>
            <b/>
            <sz val="9"/>
            <color indexed="81"/>
            <rFont val="Tahoma"/>
            <family val="2"/>
          </rPr>
          <t xml:space="preserve">When drilling on water
  </t>
        </r>
        <r>
          <rPr>
            <sz val="9"/>
            <color indexed="81"/>
            <rFont val="Tahoma"/>
            <family val="2"/>
          </rPr>
          <t>Type a negative value corresponding to the
  water depth,  control that the stresses in the
  figure are as you intended</t>
        </r>
      </text>
    </comment>
    <comment ref="U5" authorId="1" shapeId="0" xr:uid="{DEC80093-01C0-494E-9BDC-77F76819CDF6}">
      <text>
        <r>
          <rPr>
            <b/>
            <sz val="9"/>
            <color indexed="81"/>
            <rFont val="Tahoma"/>
            <family val="2"/>
          </rPr>
          <t>Please note:</t>
        </r>
        <r>
          <rPr>
            <sz val="9"/>
            <color indexed="81"/>
            <rFont val="Tahoma"/>
            <family val="2"/>
          </rPr>
          <t xml:space="preserve">
A unit weight of 17kN/m³ was used to define
  ▪  2D classification shart
  ▪  Quick clay screening method
  ▪  DTW classification model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Sigurdur Mar Valsson</author>
  </authors>
  <commentList>
    <comment ref="R4" authorId="0" shapeId="0" xr:uid="{510D0456-9383-49BD-BB0E-FA96E3E2ED4C}">
      <text>
        <r>
          <rPr>
            <b/>
            <sz val="9"/>
            <color indexed="81"/>
            <rFont val="Tahoma"/>
            <family val="2"/>
          </rPr>
          <t>Feed force shift</t>
        </r>
        <r>
          <rPr>
            <sz val="9"/>
            <color indexed="81"/>
            <rFont val="Tahoma"/>
            <family val="2"/>
          </rPr>
          <t xml:space="preserve">
A correction to shift negative push force registration to suggested minumum (cell C27 in General sheet).
Only used if a feed force below lower bound is observed.
Turn off correction in cell C26 in general sheet</t>
        </r>
      </text>
    </comment>
    <comment ref="Q12" authorId="0" shapeId="0" xr:uid="{7FAC82C7-55D8-4221-8AD6-A8E22D66B103}">
      <text>
        <r>
          <rPr>
            <sz val="9"/>
            <color indexed="81"/>
            <rFont val="Tahoma"/>
            <family val="2"/>
          </rPr>
          <t>threshold set to 35 rpm, which is just above tolerance for normal procedure</t>
        </r>
        <r>
          <rPr>
            <b/>
            <sz val="9"/>
            <color indexed="81"/>
            <rFont val="Tahoma"/>
            <family val="2"/>
          </rPr>
          <t xml:space="preserve">
Normal rotational velocity
</t>
        </r>
        <r>
          <rPr>
            <sz val="9"/>
            <color indexed="81"/>
            <rFont val="Tahoma"/>
            <family val="2"/>
          </rPr>
          <t>n=25±5 rpm</t>
        </r>
        <r>
          <rPr>
            <b/>
            <sz val="9"/>
            <color indexed="81"/>
            <rFont val="Tahoma"/>
            <family val="2"/>
          </rPr>
          <t xml:space="preserve">
Increased ratational velocity
</t>
        </r>
        <r>
          <rPr>
            <sz val="9"/>
            <color indexed="81"/>
            <rFont val="Tahoma"/>
            <family val="2"/>
          </rPr>
          <t>n=60±10 rpm</t>
        </r>
      </text>
    </comment>
    <comment ref="Q13" authorId="0" shapeId="0" xr:uid="{15FB1E6F-8FEE-41E4-B03A-9A9CAB3DCAD8}">
      <text>
        <r>
          <rPr>
            <b/>
            <sz val="9"/>
            <color indexed="81"/>
            <rFont val="Tahoma"/>
            <family val="2"/>
          </rPr>
          <t xml:space="preserve">Drill rig requirement:
</t>
        </r>
        <r>
          <rPr>
            <sz val="9"/>
            <color indexed="81"/>
            <rFont val="Tahoma"/>
            <family val="2"/>
          </rPr>
          <t>I&gt;30 bar (or 3MPa)
Although not specified in the standard, we set a threshold for interpreting as flushing at I&lt;0,1MPa (1 bar)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Sigurdur Mar Valsson</author>
    <author>Valsson Sigurdur Már</author>
  </authors>
  <commentList>
    <comment ref="Y13" authorId="0" shapeId="0" xr:uid="{54AD3C74-DB09-4B70-9A72-BA9A1CE2DD04}">
      <text>
        <r>
          <rPr>
            <sz val="9"/>
            <color indexed="81"/>
            <rFont val="Tahoma"/>
            <family val="2"/>
          </rPr>
          <t>threshold set to 35 rpm, which is just above tolerance for normal procedure</t>
        </r>
        <r>
          <rPr>
            <b/>
            <sz val="9"/>
            <color indexed="81"/>
            <rFont val="Tahoma"/>
            <family val="2"/>
          </rPr>
          <t xml:space="preserve">
Normal rotational velocity</t>
        </r>
        <r>
          <rPr>
            <sz val="9"/>
            <color indexed="81"/>
            <rFont val="Tahoma"/>
            <family val="2"/>
          </rPr>
          <t xml:space="preserve">
n=25±5 rpm
</t>
        </r>
        <r>
          <rPr>
            <b/>
            <sz val="9"/>
            <color indexed="81"/>
            <rFont val="Tahoma"/>
            <family val="2"/>
          </rPr>
          <t>Increased ratational velocity</t>
        </r>
        <r>
          <rPr>
            <sz val="9"/>
            <color indexed="81"/>
            <rFont val="Tahoma"/>
            <family val="2"/>
          </rPr>
          <t xml:space="preserve">
n=60±10 rpm</t>
        </r>
      </text>
    </comment>
    <comment ref="Z13" authorId="0" shapeId="0" xr:uid="{AC02A20A-5745-4E45-82D9-5DD15EA63A3F}">
      <text>
        <r>
          <rPr>
            <b/>
            <sz val="9"/>
            <color indexed="81"/>
            <rFont val="Tahoma"/>
            <family val="2"/>
          </rPr>
          <t>Drill rig requirement:</t>
        </r>
        <r>
          <rPr>
            <sz val="9"/>
            <color indexed="81"/>
            <rFont val="Tahoma"/>
            <family val="2"/>
          </rPr>
          <t xml:space="preserve">
I&gt;30 bar (or 3MPa)
Although not specified in the standard, we set a threshold for interpreting as flushing at I&lt;0,1MPa (1 bar)</t>
        </r>
      </text>
    </comment>
    <comment ref="AD16" authorId="1" shapeId="0" xr:uid="{8C144DEF-DEA0-4F69-AEC7-0C1AA7470169}">
      <text>
        <r>
          <rPr>
            <b/>
            <sz val="9"/>
            <color indexed="81"/>
            <rFont val="Tahoma"/>
            <family val="2"/>
          </rPr>
          <t>Valsson Sigurdur Már:</t>
        </r>
        <r>
          <rPr>
            <sz val="9"/>
            <color indexed="81"/>
            <rFont val="Tahoma"/>
            <family val="2"/>
          </rPr>
          <t xml:space="preserve">
Holder åpen mulighet for å legge inn dette.
Kan være nyttig f.eks. i tilfelle boring igjennom fylling av begrenset bredde, relativt boredybden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Sigurdur Mar Valsson</author>
  </authors>
  <commentList>
    <comment ref="A2" authorId="0" shapeId="0" xr:uid="{7B93A3EF-077A-45F1-BA1B-693417948D2A}">
      <text>
        <r>
          <rPr>
            <b/>
            <sz val="9"/>
            <color indexed="81"/>
            <rFont val="Tahoma"/>
            <family val="2"/>
          </rPr>
          <t>Range of this method:</t>
        </r>
        <r>
          <rPr>
            <sz val="9"/>
            <color indexed="81"/>
            <rFont val="Tahoma"/>
            <family val="2"/>
          </rPr>
          <t xml:space="preserve">
Used when extending class-series in this method.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Sigurdur Mar Valsson</author>
  </authors>
  <commentList>
    <comment ref="A2" authorId="0" shapeId="0" xr:uid="{F31CFBDF-A377-437F-ACFA-A440DEE131D2}">
      <text>
        <r>
          <rPr>
            <b/>
            <sz val="9"/>
            <color indexed="81"/>
            <rFont val="Tahoma"/>
            <family val="2"/>
          </rPr>
          <t>Range of this method:</t>
        </r>
        <r>
          <rPr>
            <sz val="9"/>
            <color indexed="81"/>
            <rFont val="Tahoma"/>
            <family val="2"/>
          </rPr>
          <t xml:space="preserve">
Used when extending class-series in this method.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Sigurdur Mar Valsson</author>
  </authors>
  <commentList>
    <comment ref="G3" authorId="0" shapeId="0" xr:uid="{736C8373-CC4C-40B1-891B-536B813BB432}">
      <text>
        <r>
          <rPr>
            <b/>
            <sz val="9"/>
            <color indexed="81"/>
            <rFont val="Tahoma"/>
            <family val="2"/>
          </rPr>
          <t>Sigurdur Mar Valsson:</t>
        </r>
        <r>
          <rPr>
            <sz val="9"/>
            <color indexed="81"/>
            <rFont val="Tahoma"/>
            <family val="2"/>
          </rPr>
          <t xml:space="preserve">
20% of 41 → 8 indexes</t>
        </r>
      </text>
    </comment>
    <comment ref="B9" authorId="0" shapeId="0" xr:uid="{C2472807-93FB-405D-92CC-1590B7A8D4CD}">
      <text>
        <r>
          <rPr>
            <b/>
            <sz val="9"/>
            <color indexed="81"/>
            <rFont val="Tahoma"/>
            <family val="2"/>
          </rPr>
          <t>Data stored as delimited text:</t>
        </r>
        <r>
          <rPr>
            <sz val="9"/>
            <color indexed="81"/>
            <rFont val="Tahoma"/>
            <family val="2"/>
          </rPr>
          <t xml:space="preserve">
A decision was made to store the data for each curve as text.
Main reason for this was readability -&gt; easy to see 20 lines for each class (reduced set)
reason #2: faster to import all data in this manner from sheet to initiate classifier
</t>
        </r>
      </text>
    </comment>
  </commentList>
</comments>
</file>

<file path=xl/sharedStrings.xml><?xml version="1.0" encoding="utf-8"?>
<sst xmlns="http://schemas.openxmlformats.org/spreadsheetml/2006/main" count="845" uniqueCount="503">
  <si>
    <t>BH</t>
  </si>
  <si>
    <t xml:space="preserve"> figurtekst for labdata</t>
  </si>
  <si>
    <r>
      <t>(kN/m</t>
    </r>
    <r>
      <rPr>
        <vertAlign val="superscript"/>
        <sz val="10"/>
        <rFont val="Lucida Sans Unicode"/>
        <family val="2"/>
      </rPr>
      <t>3</t>
    </r>
    <r>
      <rPr>
        <sz val="10"/>
        <rFont val="Lucida Sans Unicode"/>
        <family val="2"/>
      </rPr>
      <t>)</t>
    </r>
  </si>
  <si>
    <t>(m)</t>
  </si>
  <si>
    <t>Dybde</t>
  </si>
  <si>
    <r>
      <t>Hydrost., u</t>
    </r>
    <r>
      <rPr>
        <vertAlign val="subscript"/>
        <sz val="10"/>
        <color theme="1"/>
        <rFont val="Lucida Sans Unicode"/>
        <family val="2"/>
      </rPr>
      <t>h</t>
    </r>
  </si>
  <si>
    <t>(kPa)</t>
  </si>
  <si>
    <r>
      <t>(kN/m</t>
    </r>
    <r>
      <rPr>
        <vertAlign val="superscript"/>
        <sz val="10"/>
        <color theme="1"/>
        <rFont val="Lucida Sans Unicode"/>
        <family val="2"/>
      </rPr>
      <t>3</t>
    </r>
    <r>
      <rPr>
        <sz val="11"/>
        <color theme="1"/>
        <rFont val="Calibri"/>
        <family val="2"/>
        <scheme val="minor"/>
      </rPr>
      <t>)</t>
    </r>
  </si>
  <si>
    <t>T</t>
  </si>
  <si>
    <t>(kN)</t>
  </si>
  <si>
    <t>(mm/s)</t>
  </si>
  <si>
    <t>HA</t>
  </si>
  <si>
    <t>HB</t>
  </si>
  <si>
    <t>HC</t>
  </si>
  <si>
    <t>HD</t>
  </si>
  <si>
    <t>HF</t>
  </si>
  <si>
    <t>HI</t>
  </si>
  <si>
    <t>HM</t>
  </si>
  <si>
    <t>HJ</t>
  </si>
  <si>
    <t>HK</t>
  </si>
  <si>
    <t>HX</t>
  </si>
  <si>
    <t>HY</t>
  </si>
  <si>
    <t>HZ</t>
  </si>
  <si>
    <t>HO</t>
  </si>
  <si>
    <t>IS</t>
  </si>
  <si>
    <t>IK</t>
  </si>
  <si>
    <t>HQ</t>
  </si>
  <si>
    <t>HL</t>
  </si>
  <si>
    <t>HV</t>
  </si>
  <si>
    <t>HH</t>
  </si>
  <si>
    <t>D</t>
  </si>
  <si>
    <t>A</t>
  </si>
  <si>
    <t>R</t>
  </si>
  <si>
    <t>B</t>
  </si>
  <si>
    <t>AR</t>
  </si>
  <si>
    <t>I</t>
  </si>
  <si>
    <t>P</t>
  </si>
  <si>
    <t>C</t>
  </si>
  <si>
    <t>J</t>
  </si>
  <si>
    <t>AZ</t>
  </si>
  <si>
    <t>AP</t>
  </si>
  <si>
    <t>AK</t>
  </si>
  <si>
    <t>V</t>
  </si>
  <si>
    <t>KP</t>
  </si>
  <si>
    <t>H</t>
  </si>
  <si>
    <t>AQ</t>
  </si>
  <si>
    <t>K</t>
  </si>
  <si>
    <t>Moment</t>
  </si>
  <si>
    <t>(s/0.2m)</t>
  </si>
  <si>
    <t>(rpm)</t>
  </si>
  <si>
    <t>(kNm)</t>
  </si>
  <si>
    <t>(MPa)</t>
  </si>
  <si>
    <t>(L/min)</t>
  </si>
  <si>
    <t>(-)</t>
  </si>
  <si>
    <t>Project and borehole</t>
  </si>
  <si>
    <t>Text</t>
  </si>
  <si>
    <t>Green text shows in figures</t>
  </si>
  <si>
    <t>Input or choices</t>
  </si>
  <si>
    <t>Input with a recommended setting</t>
  </si>
  <si>
    <t>Data collected from file</t>
  </si>
  <si>
    <t>Need input - calculations stopped</t>
  </si>
  <si>
    <t>nr.Name</t>
  </si>
  <si>
    <t>Sheets for printing</t>
  </si>
  <si>
    <t>Calculations (no user input)</t>
  </si>
  <si>
    <t>Info on version/references</t>
  </si>
  <si>
    <t>Registered data</t>
  </si>
  <si>
    <t>Depth</t>
  </si>
  <si>
    <t>Feed force</t>
  </si>
  <si>
    <t>Penetration rate</t>
  </si>
  <si>
    <t>Time pr. distance</t>
  </si>
  <si>
    <t>Half revolutions pr. distance</t>
  </si>
  <si>
    <t>Pressure, rotational motor</t>
  </si>
  <si>
    <t>Flushing pressure</t>
  </si>
  <si>
    <t>Flushing volume</t>
  </si>
  <si>
    <t>Increased rotational velocity</t>
  </si>
  <si>
    <t>Flushing</t>
  </si>
  <si>
    <t>Hammering</t>
  </si>
  <si>
    <t>Hammer pressure</t>
  </si>
  <si>
    <t>Code</t>
  </si>
  <si>
    <t>Timestamp</t>
  </si>
  <si>
    <t>(YYYYMMDDhhmm)</t>
  </si>
  <si>
    <t>(half rev.s/0.2m)</t>
  </si>
  <si>
    <t>Borehole</t>
  </si>
  <si>
    <t>Report nr.</t>
  </si>
  <si>
    <t>Project nr.</t>
  </si>
  <si>
    <t>Company</t>
  </si>
  <si>
    <t>NPRA</t>
  </si>
  <si>
    <t>Project name</t>
  </si>
  <si>
    <t>Borehole prefix</t>
  </si>
  <si>
    <t>Interpretation and control</t>
  </si>
  <si>
    <t>Sounding - general</t>
  </si>
  <si>
    <t>Specifications</t>
  </si>
  <si>
    <t>Date sounding</t>
  </si>
  <si>
    <t>In-situ poretrykk - Brukerdefinert</t>
  </si>
  <si>
    <t>Tyngdetetthet - Brukerdefinert</t>
  </si>
  <si>
    <t>Tabell</t>
  </si>
  <si>
    <t>Interpolert</t>
  </si>
  <si>
    <t>Verdi</t>
  </si>
  <si>
    <t>Z</t>
  </si>
  <si>
    <r>
      <t>u</t>
    </r>
    <r>
      <rPr>
        <b/>
        <vertAlign val="subscript"/>
        <sz val="10"/>
        <color theme="1"/>
        <rFont val="Lucida Sans Unicode"/>
        <family val="2"/>
      </rPr>
      <t>0</t>
    </r>
  </si>
  <si>
    <t>γ</t>
  </si>
  <si>
    <r>
      <t>(kN/m</t>
    </r>
    <r>
      <rPr>
        <b/>
        <vertAlign val="superscript"/>
        <sz val="10"/>
        <color theme="1"/>
        <rFont val="Lucida Sans Unicode"/>
        <family val="2"/>
      </rPr>
      <t>3</t>
    </r>
    <r>
      <rPr>
        <b/>
        <sz val="10"/>
        <color theme="1"/>
        <rFont val="Lucida Sans Unicode"/>
        <family val="2"/>
      </rPr>
      <t>)</t>
    </r>
  </si>
  <si>
    <t>γw</t>
  </si>
  <si>
    <r>
      <t>γ</t>
    </r>
    <r>
      <rPr>
        <vertAlign val="subscript"/>
        <sz val="10"/>
        <color theme="0" tint="-0.499984740745262"/>
        <rFont val="Lucida Sans Unicode"/>
        <family val="2"/>
      </rPr>
      <t>w</t>
    </r>
  </si>
  <si>
    <t>Q</t>
  </si>
  <si>
    <t>[kPa]</t>
  </si>
  <si>
    <t>Soil unit weight</t>
  </si>
  <si>
    <t>Terrain load</t>
  </si>
  <si>
    <t>Description</t>
  </si>
  <si>
    <t>Completed</t>
  </si>
  <si>
    <t>Controlled</t>
  </si>
  <si>
    <t>Approved</t>
  </si>
  <si>
    <r>
      <t>Unit weight water, γ</t>
    </r>
    <r>
      <rPr>
        <vertAlign val="subscript"/>
        <sz val="10"/>
        <rFont val="Lucida Sans Unicode"/>
        <family val="2"/>
      </rPr>
      <t>w</t>
    </r>
  </si>
  <si>
    <t>Figure text</t>
  </si>
  <si>
    <t>Figure text depth</t>
  </si>
  <si>
    <t>Content</t>
  </si>
  <si>
    <t>In-situ pore pressure, total- and effective vertical stress in calculations</t>
  </si>
  <si>
    <t>External comment</t>
  </si>
  <si>
    <t>Rev. Date</t>
  </si>
  <si>
    <t>Revision</t>
  </si>
  <si>
    <t>Figure</t>
  </si>
  <si>
    <t>Internal comment</t>
  </si>
  <si>
    <t>Figures</t>
  </si>
  <si>
    <t>Groundwater / in-situ pore pressure</t>
  </si>
  <si>
    <r>
      <t>Pore pressure, u</t>
    </r>
    <r>
      <rPr>
        <vertAlign val="subscript"/>
        <sz val="10"/>
        <color theme="1"/>
        <rFont val="Lucida Sans Unicode"/>
        <family val="2"/>
      </rPr>
      <t>0</t>
    </r>
  </si>
  <si>
    <t>Unit weight, γ</t>
  </si>
  <si>
    <t>GWL</t>
  </si>
  <si>
    <t>In-situ poretrykk</t>
  </si>
  <si>
    <r>
      <t>σ</t>
    </r>
    <r>
      <rPr>
        <vertAlign val="subscript"/>
        <sz val="10"/>
        <color theme="1"/>
        <rFont val="Lucida Sans Unicode"/>
        <family val="2"/>
      </rPr>
      <t>v0</t>
    </r>
  </si>
  <si>
    <r>
      <t>u</t>
    </r>
    <r>
      <rPr>
        <vertAlign val="subscript"/>
        <sz val="10"/>
        <color theme="1"/>
        <rFont val="Lucida Sans Unicode"/>
        <family val="2"/>
      </rPr>
      <t>h</t>
    </r>
  </si>
  <si>
    <r>
      <t>u</t>
    </r>
    <r>
      <rPr>
        <vertAlign val="subscript"/>
        <sz val="10"/>
        <color theme="1"/>
        <rFont val="Lucida Sans Unicode"/>
        <family val="2"/>
      </rPr>
      <t>0</t>
    </r>
  </si>
  <si>
    <r>
      <t>σ'</t>
    </r>
    <r>
      <rPr>
        <vertAlign val="subscript"/>
        <sz val="10"/>
        <color theme="1"/>
        <rFont val="Lucida Sans Unicode"/>
        <family val="2"/>
      </rPr>
      <t>v0</t>
    </r>
  </si>
  <si>
    <r>
      <t>σ'</t>
    </r>
    <r>
      <rPr>
        <vertAlign val="subscript"/>
        <sz val="10"/>
        <color theme="1"/>
        <rFont val="Lucida Sans Unicode"/>
        <family val="2"/>
      </rPr>
      <t>v0</t>
    </r>
    <r>
      <rPr>
        <sz val="11"/>
        <color theme="1"/>
        <rFont val="Calibri"/>
        <family val="2"/>
        <scheme val="minor"/>
      </rPr>
      <t xml:space="preserve"> = σ</t>
    </r>
    <r>
      <rPr>
        <vertAlign val="subscript"/>
        <sz val="10"/>
        <color theme="1"/>
        <rFont val="Lucida Sans Unicode"/>
        <family val="2"/>
      </rPr>
      <t>v0</t>
    </r>
    <r>
      <rPr>
        <sz val="11"/>
        <color theme="1"/>
        <rFont val="Calibri"/>
        <family val="2"/>
        <scheme val="minor"/>
      </rPr>
      <t xml:space="preserve"> - u</t>
    </r>
    <r>
      <rPr>
        <vertAlign val="subscript"/>
        <sz val="10"/>
        <color theme="1"/>
        <rFont val="Lucida Sans Unicode"/>
        <family val="2"/>
      </rPr>
      <t>0</t>
    </r>
  </si>
  <si>
    <r>
      <t>σ</t>
    </r>
    <r>
      <rPr>
        <vertAlign val="subscript"/>
        <sz val="10"/>
        <color theme="1"/>
        <rFont val="Lucida Sans Unicode"/>
        <family val="2"/>
      </rPr>
      <t>v0.0</t>
    </r>
  </si>
  <si>
    <t>Total stress from water over terrain</t>
  </si>
  <si>
    <r>
      <t>σ</t>
    </r>
    <r>
      <rPr>
        <vertAlign val="subscript"/>
        <sz val="10"/>
        <color theme="1"/>
        <rFont val="Lucida Sans Unicode"/>
        <family val="2"/>
      </rPr>
      <t>w</t>
    </r>
  </si>
  <si>
    <r>
      <t>σ</t>
    </r>
    <r>
      <rPr>
        <vertAlign val="subscript"/>
        <sz val="10"/>
        <color theme="1"/>
        <rFont val="Lucida Sans Unicode"/>
        <family val="2"/>
      </rPr>
      <t xml:space="preserve">v0 </t>
    </r>
    <r>
      <rPr>
        <sz val="11"/>
        <color theme="1"/>
        <rFont val="Calibri"/>
        <family val="2"/>
        <scheme val="minor"/>
      </rPr>
      <t>= σ</t>
    </r>
    <r>
      <rPr>
        <vertAlign val="subscript"/>
        <sz val="11"/>
        <color theme="1"/>
        <rFont val="Calibri"/>
        <family val="2"/>
        <scheme val="minor"/>
      </rPr>
      <t xml:space="preserve">w </t>
    </r>
    <r>
      <rPr>
        <sz val="11"/>
        <color theme="1"/>
        <rFont val="Calibri"/>
        <family val="2"/>
        <scheme val="minor"/>
      </rPr>
      <t>+ σ</t>
    </r>
    <r>
      <rPr>
        <vertAlign val="subscript"/>
        <sz val="11"/>
        <color theme="1"/>
        <rFont val="Calibri"/>
        <family val="2"/>
        <scheme val="minor"/>
      </rPr>
      <t>v.above</t>
    </r>
    <r>
      <rPr>
        <sz val="11"/>
        <color theme="1"/>
        <rFont val="Calibri"/>
        <family val="2"/>
        <scheme val="minor"/>
      </rPr>
      <t xml:space="preserve"> + </t>
    </r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σ</t>
    </r>
    <r>
      <rPr>
        <vertAlign val="subscript"/>
        <sz val="11"/>
        <color theme="1"/>
        <rFont val="Calibri"/>
        <family val="2"/>
        <scheme val="minor"/>
      </rPr>
      <t>v</t>
    </r>
  </si>
  <si>
    <t>ΔD</t>
  </si>
  <si>
    <t>Depth increment</t>
  </si>
  <si>
    <t>Incremental soil unit weight</t>
  </si>
  <si>
    <t>Total stress</t>
  </si>
  <si>
    <t>Hydrostatic pore pressure</t>
  </si>
  <si>
    <r>
      <t>u</t>
    </r>
    <r>
      <rPr>
        <vertAlign val="subscript"/>
        <sz val="10"/>
        <color theme="1"/>
        <rFont val="Lucida Sans Unicode"/>
        <family val="2"/>
      </rPr>
      <t>h</t>
    </r>
    <r>
      <rPr>
        <sz val="11"/>
        <color theme="1"/>
        <rFont val="Calibri"/>
        <family val="2"/>
        <scheme val="minor"/>
      </rPr>
      <t xml:space="preserve"> = (D - GWL)·γ</t>
    </r>
    <r>
      <rPr>
        <vertAlign val="subscript"/>
        <sz val="10"/>
        <color theme="1"/>
        <rFont val="Lucida Sans Unicode"/>
        <family val="2"/>
      </rPr>
      <t>w</t>
    </r>
    <r>
      <rPr>
        <sz val="11"/>
        <color theme="1"/>
        <rFont val="Calibri"/>
        <family val="2"/>
        <scheme val="minor"/>
      </rPr>
      <t xml:space="preserve"> </t>
    </r>
  </si>
  <si>
    <t>Effective vertical stress</t>
  </si>
  <si>
    <t>Sheet color code</t>
  </si>
  <si>
    <t>Cell color code</t>
  </si>
  <si>
    <r>
      <t>u</t>
    </r>
    <r>
      <rPr>
        <vertAlign val="subscript"/>
        <sz val="10"/>
        <color theme="1"/>
        <rFont val="Lucida Sans Unicode"/>
        <family val="2"/>
      </rPr>
      <t>0</t>
    </r>
    <r>
      <rPr>
        <sz val="11"/>
        <color theme="1"/>
        <rFont val="Calibri"/>
        <family val="2"/>
        <scheme val="minor"/>
      </rPr>
      <t xml:space="preserve"> = measured (alt. U</t>
    </r>
    <r>
      <rPr>
        <vertAlign val="subscript"/>
        <sz val="11"/>
        <color theme="1"/>
        <rFont val="Calibri"/>
        <family val="2"/>
        <scheme val="minor"/>
      </rPr>
      <t>h</t>
    </r>
    <r>
      <rPr>
        <sz val="11"/>
        <color theme="1"/>
        <rFont val="Calibri"/>
        <family val="2"/>
        <scheme val="minor"/>
      </rPr>
      <t>)</t>
    </r>
  </si>
  <si>
    <t>Depth axis</t>
  </si>
  <si>
    <t>Elev.</t>
  </si>
  <si>
    <t>D=0</t>
  </si>
  <si>
    <r>
      <t>D=D</t>
    </r>
    <r>
      <rPr>
        <b/>
        <vertAlign val="subscript"/>
        <sz val="10"/>
        <color theme="0" tint="-0.499984740745262"/>
        <rFont val="Lucida Sans Unicode"/>
        <family val="2"/>
      </rPr>
      <t>0</t>
    </r>
  </si>
  <si>
    <t>D (m)</t>
  </si>
  <si>
    <t>γ (kN/m3)</t>
  </si>
  <si>
    <r>
      <t>σ</t>
    </r>
    <r>
      <rPr>
        <vertAlign val="subscript"/>
        <sz val="10"/>
        <color theme="0" tint="-0.499984740745262"/>
        <rFont val="Lucida Sans Unicode"/>
        <family val="2"/>
      </rPr>
      <t>v0.over</t>
    </r>
    <r>
      <rPr>
        <sz val="10"/>
        <color theme="0" tint="-0.499984740745262"/>
        <rFont val="Lucida Sans Unicode"/>
        <family val="2"/>
      </rPr>
      <t>.D</t>
    </r>
    <r>
      <rPr>
        <vertAlign val="subscript"/>
        <sz val="10"/>
        <color theme="0" tint="-0.499984740745262"/>
        <rFont val="Lucida Sans Unicode"/>
        <family val="2"/>
      </rPr>
      <t>0</t>
    </r>
  </si>
  <si>
    <t>kPa</t>
  </si>
  <si>
    <t>can be above predrilling depth</t>
  </si>
  <si>
    <t>Sounding profile</t>
  </si>
  <si>
    <t>Data</t>
  </si>
  <si>
    <t>Interpreted data</t>
  </si>
  <si>
    <t>Stresses</t>
  </si>
  <si>
    <t>Zero corrections</t>
  </si>
  <si>
    <t>Zero shifts</t>
  </si>
  <si>
    <t>Thresholds</t>
  </si>
  <si>
    <t>(s/m)</t>
  </si>
  <si>
    <t>Drill time</t>
  </si>
  <si>
    <t>Threshold values</t>
  </si>
  <si>
    <t>Field team leader</t>
  </si>
  <si>
    <t>min</t>
  </si>
  <si>
    <t>max</t>
  </si>
  <si>
    <t>Rotational velocity</t>
  </si>
  <si>
    <t>Derived parameters</t>
  </si>
  <si>
    <t>Normalized tip resistance</t>
  </si>
  <si>
    <r>
      <t>q</t>
    </r>
    <r>
      <rPr>
        <vertAlign val="subscript"/>
        <sz val="10"/>
        <color theme="1"/>
        <rFont val="Lucida Sans Unicode"/>
        <family val="2"/>
      </rPr>
      <t>n</t>
    </r>
  </si>
  <si>
    <r>
      <t>F</t>
    </r>
    <r>
      <rPr>
        <vertAlign val="subscript"/>
        <sz val="11"/>
        <color theme="1"/>
        <rFont val="Calibri"/>
        <family val="2"/>
        <scheme val="minor"/>
      </rPr>
      <t>DT</t>
    </r>
  </si>
  <si>
    <t>Tip area</t>
  </si>
  <si>
    <r>
      <t>(m</t>
    </r>
    <r>
      <rPr>
        <vertAlign val="superscript"/>
        <sz val="10"/>
        <rFont val="Lucida Sans Unicode"/>
        <family val="2"/>
      </rPr>
      <t>2</t>
    </r>
    <r>
      <rPr>
        <sz val="10"/>
        <rFont val="Lucida Sans Unicode"/>
        <family val="2"/>
      </rPr>
      <t>)</t>
    </r>
  </si>
  <si>
    <r>
      <t>q</t>
    </r>
    <r>
      <rPr>
        <vertAlign val="subscript"/>
        <sz val="10"/>
        <color theme="1"/>
        <rFont val="Lucida Sans Unicode"/>
        <family val="2"/>
      </rPr>
      <t>ns.30</t>
    </r>
  </si>
  <si>
    <t>Smoothed normalized tip resistance</t>
  </si>
  <si>
    <t>mode</t>
  </si>
  <si>
    <t>N cells</t>
  </si>
  <si>
    <t>0,3m</t>
  </si>
  <si>
    <t>1,0m</t>
  </si>
  <si>
    <t>full interval</t>
  </si>
  <si>
    <t>half_interval</t>
  </si>
  <si>
    <t>Rod weight</t>
  </si>
  <si>
    <t>RW</t>
  </si>
  <si>
    <t>x</t>
  </si>
  <si>
    <t>y</t>
  </si>
  <si>
    <t>Y</t>
  </si>
  <si>
    <t>Presentation of threshold values</t>
  </si>
  <si>
    <t>I-threshold</t>
  </si>
  <si>
    <t>AZ-threshold</t>
  </si>
  <si>
    <t>R-threshold</t>
  </si>
  <si>
    <r>
      <t>= avg(q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</t>
    </r>
    <r>
      <rPr>
        <vertAlign val="subscript"/>
        <sz val="11"/>
        <color theme="1"/>
        <rFont val="Calibri"/>
        <family val="2"/>
        <scheme val="minor"/>
      </rPr>
      <t>.30cm</t>
    </r>
  </si>
  <si>
    <r>
      <t>std(F</t>
    </r>
    <r>
      <rPr>
        <vertAlign val="subscript"/>
        <sz val="11"/>
        <color theme="1"/>
        <rFont val="Calibri"/>
        <family val="2"/>
        <scheme val="minor"/>
      </rPr>
      <t>DT</t>
    </r>
    <r>
      <rPr>
        <sz val="11"/>
        <color theme="1"/>
        <rFont val="Calibri"/>
        <family val="2"/>
        <scheme val="minor"/>
      </rPr>
      <t>)</t>
    </r>
  </si>
  <si>
    <r>
      <t>= std(F</t>
    </r>
    <r>
      <rPr>
        <vertAlign val="subscript"/>
        <sz val="11"/>
        <color theme="1"/>
        <rFont val="Calibri"/>
        <family val="2"/>
        <scheme val="minor"/>
      </rPr>
      <t>DT</t>
    </r>
    <r>
      <rPr>
        <sz val="11"/>
        <color theme="1"/>
        <rFont val="Calibri"/>
        <family val="2"/>
        <scheme val="minor"/>
      </rPr>
      <t>)</t>
    </r>
    <r>
      <rPr>
        <vertAlign val="subscript"/>
        <sz val="11"/>
        <color theme="1"/>
        <rFont val="Calibri"/>
        <family val="2"/>
        <scheme val="minor"/>
      </rPr>
      <t>.30cm</t>
    </r>
  </si>
  <si>
    <t>Feed force standard deviation</t>
  </si>
  <si>
    <t>Estimated tip resistance</t>
  </si>
  <si>
    <t>(%)</t>
  </si>
  <si>
    <t>Quick clay screening parameter</t>
  </si>
  <si>
    <t>a</t>
  </si>
  <si>
    <t>b</t>
  </si>
  <si>
    <t>c</t>
  </si>
  <si>
    <t>d</t>
  </si>
  <si>
    <t>e</t>
  </si>
  <si>
    <t>Estimated CPTu tip resistance</t>
  </si>
  <si>
    <r>
      <t>q</t>
    </r>
    <r>
      <rPr>
        <vertAlign val="subscript"/>
        <sz val="11"/>
        <color theme="1"/>
        <rFont val="Calibri"/>
        <family val="2"/>
        <scheme val="minor"/>
      </rPr>
      <t>t-cpt</t>
    </r>
  </si>
  <si>
    <r>
      <t>q</t>
    </r>
    <r>
      <rPr>
        <vertAlign val="subscript"/>
        <sz val="11"/>
        <color theme="1"/>
        <rFont val="Calibri"/>
        <family val="2"/>
        <scheme val="minor"/>
      </rPr>
      <t>t.tot</t>
    </r>
  </si>
  <si>
    <r>
      <t>q</t>
    </r>
    <r>
      <rPr>
        <vertAlign val="subscript"/>
        <sz val="10"/>
        <color theme="1"/>
        <rFont val="Lucida Sans Unicode"/>
        <family val="2"/>
      </rPr>
      <t>t.tot</t>
    </r>
    <r>
      <rPr>
        <sz val="11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Lucida Sans Unicode"/>
        <family val="2"/>
      </rPr>
      <t>DT</t>
    </r>
    <r>
      <rPr>
        <sz val="11"/>
        <color theme="1"/>
        <rFont val="Calibri"/>
        <family val="2"/>
        <scheme val="minor"/>
      </rPr>
      <t xml:space="preserve"> / A</t>
    </r>
  </si>
  <si>
    <r>
      <t>q</t>
    </r>
    <r>
      <rPr>
        <vertAlign val="subscript"/>
        <sz val="10"/>
        <color theme="1"/>
        <rFont val="Lucida Sans Unicode"/>
        <family val="2"/>
      </rPr>
      <t>n</t>
    </r>
    <r>
      <rPr>
        <sz val="11"/>
        <color theme="1"/>
        <rFont val="Calibri"/>
        <family val="2"/>
        <scheme val="minor"/>
      </rPr>
      <t xml:space="preserve"> = q</t>
    </r>
    <r>
      <rPr>
        <vertAlign val="subscript"/>
        <sz val="11"/>
        <color theme="1"/>
        <rFont val="Calibri"/>
        <family val="2"/>
        <scheme val="minor"/>
      </rPr>
      <t>t.tot</t>
    </r>
    <r>
      <rPr>
        <sz val="11"/>
        <color theme="1"/>
        <rFont val="Calibri"/>
        <family val="2"/>
        <scheme val="minor"/>
      </rPr>
      <t xml:space="preserve"> / </t>
    </r>
    <r>
      <rPr>
        <sz val="11"/>
        <color theme="1"/>
        <rFont val="Times New Roman"/>
        <family val="1"/>
      </rPr>
      <t>σ'</t>
    </r>
    <r>
      <rPr>
        <vertAlign val="subscript"/>
        <sz val="11"/>
        <color theme="1"/>
        <rFont val="Calibri"/>
        <family val="2"/>
        <scheme val="minor"/>
      </rPr>
      <t>v0</t>
    </r>
  </si>
  <si>
    <r>
      <t>(q</t>
    </r>
    <r>
      <rPr>
        <vertAlign val="subscript"/>
        <sz val="11"/>
        <color theme="1"/>
        <rFont val="Calibri"/>
        <family val="2"/>
        <scheme val="minor"/>
      </rPr>
      <t>t-cpt</t>
    </r>
    <r>
      <rPr>
        <sz val="11"/>
        <color theme="1"/>
        <rFont val="Calibri"/>
        <family val="2"/>
        <scheme val="minor"/>
      </rPr>
      <t>-σ</t>
    </r>
    <r>
      <rPr>
        <vertAlign val="subscript"/>
        <sz val="11"/>
        <color theme="1"/>
        <rFont val="Calibri"/>
        <family val="2"/>
        <scheme val="minor"/>
      </rPr>
      <t>v0</t>
    </r>
    <r>
      <rPr>
        <sz val="11"/>
        <color theme="1"/>
        <rFont val="Calibri"/>
        <family val="2"/>
        <scheme val="minor"/>
      </rPr>
      <t>)/σ'</t>
    </r>
    <r>
      <rPr>
        <vertAlign val="subscript"/>
        <sz val="11"/>
        <color theme="1"/>
        <rFont val="Calibri"/>
        <family val="2"/>
        <scheme val="minor"/>
      </rPr>
      <t>v0</t>
    </r>
    <r>
      <rPr>
        <sz val="11"/>
        <color theme="1"/>
        <rFont val="Calibri"/>
        <family val="2"/>
        <scheme val="minor"/>
      </rPr>
      <t>=</t>
    </r>
    <r>
      <rPr>
        <sz val="11"/>
        <color theme="1"/>
        <rFont val="Calibri"/>
        <family val="2"/>
      </rPr>
      <t>α·((q</t>
    </r>
    <r>
      <rPr>
        <vertAlign val="subscript"/>
        <sz val="11"/>
        <color theme="1"/>
        <rFont val="Calibri"/>
        <family val="2"/>
      </rPr>
      <t>t.tot</t>
    </r>
    <r>
      <rPr>
        <sz val="11"/>
        <color theme="1"/>
        <rFont val="Calibri"/>
        <family val="2"/>
      </rPr>
      <t>-σ</t>
    </r>
    <r>
      <rPr>
        <vertAlign val="subscript"/>
        <sz val="11"/>
        <color theme="1"/>
        <rFont val="Calibri"/>
        <family val="2"/>
      </rPr>
      <t>v0</t>
    </r>
    <r>
      <rPr>
        <sz val="11"/>
        <color theme="1"/>
        <rFont val="Calibri"/>
        <family val="2"/>
      </rPr>
      <t>)/σ'</t>
    </r>
    <r>
      <rPr>
        <vertAlign val="subscript"/>
        <sz val="11"/>
        <color theme="1"/>
        <rFont val="Calibri"/>
        <family val="2"/>
      </rPr>
      <t>v0</t>
    </r>
    <r>
      <rPr>
        <sz val="11"/>
        <color theme="1"/>
        <rFont val="Calibri"/>
        <family val="2"/>
      </rPr>
      <t>)</t>
    </r>
  </si>
  <si>
    <t>α</t>
  </si>
  <si>
    <t>Screening result</t>
  </si>
  <si>
    <t>t</t>
  </si>
  <si>
    <t>Method definitions</t>
  </si>
  <si>
    <t>Data x-col</t>
  </si>
  <si>
    <t>Data y-col</t>
  </si>
  <si>
    <t>Result column</t>
  </si>
  <si>
    <r>
      <t>q</t>
    </r>
    <r>
      <rPr>
        <vertAlign val="subscript"/>
        <sz val="11"/>
        <color theme="1"/>
        <rFont val="Calibri"/>
        <family val="2"/>
        <scheme val="minor"/>
      </rPr>
      <t>ns</t>
    </r>
  </si>
  <si>
    <t>log</t>
  </si>
  <si>
    <r>
      <t>std(F</t>
    </r>
    <r>
      <rPr>
        <vertAlign val="subscript"/>
        <sz val="11"/>
        <color theme="1"/>
        <rFont val="Calibri"/>
        <family val="2"/>
        <scheme val="minor"/>
      </rPr>
      <t>DT</t>
    </r>
    <r>
      <rPr>
        <sz val="11"/>
        <color theme="1"/>
        <rFont val="Calibri"/>
        <family val="2"/>
        <scheme val="minor"/>
      </rPr>
      <t>)</t>
    </r>
    <r>
      <rPr>
        <vertAlign val="subscript"/>
        <sz val="11"/>
        <color theme="1"/>
        <rFont val="Calibri"/>
        <family val="2"/>
        <scheme val="minor"/>
      </rPr>
      <t>.30</t>
    </r>
  </si>
  <si>
    <r>
      <t>Valsson, Degago, Eiksund 2024 (</t>
    </r>
    <r>
      <rPr>
        <sz val="10"/>
        <rFont val="Lucida Sans Unicode"/>
        <family val="2"/>
      </rPr>
      <t>q</t>
    </r>
    <r>
      <rPr>
        <vertAlign val="subscript"/>
        <sz val="10"/>
        <rFont val="Lucida Sans Unicode"/>
        <family val="2"/>
      </rPr>
      <t>ns</t>
    </r>
    <r>
      <rPr>
        <sz val="10"/>
        <rFont val="Lucida Sans Unicode"/>
        <family val="2"/>
      </rPr>
      <t>-std(F</t>
    </r>
    <r>
      <rPr>
        <vertAlign val="subscript"/>
        <sz val="11"/>
        <color theme="1"/>
        <rFont val="Calibri"/>
        <family val="2"/>
        <scheme val="minor"/>
      </rPr>
      <t>DT</t>
    </r>
    <r>
      <rPr>
        <sz val="11"/>
        <color theme="1"/>
        <rFont val="Calibri"/>
        <family val="2"/>
        <scheme val="minor"/>
      </rPr>
      <t>)</t>
    </r>
    <r>
      <rPr>
        <b/>
        <sz val="11"/>
        <color theme="1"/>
        <rFont val="Calibri"/>
        <family val="2"/>
        <scheme val="minor"/>
      </rPr>
      <t>)</t>
    </r>
  </si>
  <si>
    <t>Classification Valsson et al. 2024</t>
  </si>
  <si>
    <t>Series name</t>
  </si>
  <si>
    <t>(0=Off,1=On)</t>
  </si>
  <si>
    <t>-1.Predrilling</t>
  </si>
  <si>
    <t>0.Outside model</t>
  </si>
  <si>
    <t>1.Clay</t>
  </si>
  <si>
    <t>2.Silty clay</t>
  </si>
  <si>
    <t>3.Clayey silt</t>
  </si>
  <si>
    <t>4.Silt</t>
  </si>
  <si>
    <t>5.Sandy silt</t>
  </si>
  <si>
    <t>7.Sand</t>
  </si>
  <si>
    <t>8.Gravelly sand</t>
  </si>
  <si>
    <t>9.Sandy gravel</t>
  </si>
  <si>
    <t>10.Gravel</t>
  </si>
  <si>
    <t>Class</t>
  </si>
  <si>
    <t>Threshold</t>
  </si>
  <si>
    <t>Threshold, t</t>
  </si>
  <si>
    <t>(0/1)</t>
  </si>
  <si>
    <t>Classification, remove rough phases</t>
  </si>
  <si>
    <t>Yes</t>
  </si>
  <si>
    <t>white-out</t>
  </si>
  <si>
    <t>Flushing or hammering white-out</t>
  </si>
  <si>
    <t>P&gt;t</t>
  </si>
  <si>
    <t>Valsson et al. 2024 - Quick clay screening</t>
  </si>
  <si>
    <t>P&lt;=t</t>
  </si>
  <si>
    <t>Screening result compliment</t>
  </si>
  <si>
    <t>These two are a classification model</t>
  </si>
  <si>
    <t>P = (see sheet 3)</t>
  </si>
  <si>
    <t>Show depth to at least</t>
  </si>
  <si>
    <t>eps</t>
  </si>
  <si>
    <r>
      <t>use iferror</t>
    </r>
    <r>
      <rPr>
        <sz val="11"/>
        <color theme="1"/>
        <rFont val="Calibri"/>
        <family val="2"/>
      </rPr>
      <t xml:space="preserve">↓ </t>
    </r>
    <r>
      <rPr>
        <sz val="11"/>
        <color theme="1"/>
        <rFont val="Calibri"/>
        <family val="2"/>
        <scheme val="minor"/>
      </rPr>
      <t>no error in sheet</t>
    </r>
  </si>
  <si>
    <t>Valsson et al. 2024 - SBT chart</t>
  </si>
  <si>
    <t>Remove rough phases</t>
  </si>
  <si>
    <t>remove rough</t>
  </si>
  <si>
    <t>Flush/hammer</t>
  </si>
  <si>
    <t>Last column</t>
  </si>
  <si>
    <t>Predrilling</t>
  </si>
  <si>
    <r>
      <t>P = (1/a)·(atan2( log10(q</t>
    </r>
    <r>
      <rPr>
        <vertAlign val="subscript"/>
        <sz val="11"/>
        <color theme="1"/>
        <rFont val="Calibri"/>
        <family val="2"/>
        <scheme val="minor"/>
      </rPr>
      <t>ns</t>
    </r>
    <r>
      <rPr>
        <sz val="11"/>
        <color theme="1"/>
        <rFont val="Calibri"/>
        <family val="2"/>
        <scheme val="minor"/>
      </rPr>
      <t>/b), log10(std(F</t>
    </r>
    <r>
      <rPr>
        <vertAlign val="subscript"/>
        <sz val="11"/>
        <color theme="1"/>
        <rFont val="Calibri"/>
        <family val="2"/>
        <scheme val="minor"/>
      </rPr>
      <t>DT</t>
    </r>
    <r>
      <rPr>
        <sz val="11"/>
        <color theme="1"/>
        <rFont val="Calibri"/>
        <family val="2"/>
        <scheme val="minor"/>
      </rPr>
      <t>)/c) ) + d</t>
    </r>
    <r>
      <rPr>
        <sz val="11"/>
        <color theme="1"/>
        <rFont val="Calibri"/>
        <family val="2"/>
      </rPr>
      <t>·e)</t>
    </r>
  </si>
  <si>
    <t>k</t>
  </si>
  <si>
    <t>w</t>
  </si>
  <si>
    <t>r</t>
  </si>
  <si>
    <r>
      <t>q</t>
    </r>
    <r>
      <rPr>
        <vertAlign val="subscript"/>
        <sz val="11"/>
        <color theme="1"/>
        <rFont val="Calibri"/>
        <family val="2"/>
        <scheme val="minor"/>
      </rPr>
      <t>n</t>
    </r>
  </si>
  <si>
    <t>class</t>
  </si>
  <si>
    <r>
      <t>Valsson, Degago, Eiksund '24-q</t>
    </r>
    <r>
      <rPr>
        <b/>
        <vertAlign val="subscript"/>
        <sz val="10"/>
        <rFont val="Lucida Sans Unicode"/>
        <family val="2"/>
      </rPr>
      <t>n</t>
    </r>
    <r>
      <rPr>
        <b/>
        <sz val="10"/>
        <rFont val="Lucida Sans Unicode"/>
        <family val="2"/>
      </rPr>
      <t xml:space="preserve"> using dtw-reduced set</t>
    </r>
  </si>
  <si>
    <t>neighbors</t>
  </si>
  <si>
    <t>window</t>
  </si>
  <si>
    <t>endpoint relaxation</t>
  </si>
  <si>
    <t>Valsson et al. 2024 - kNN/DTW parameters</t>
  </si>
  <si>
    <t>Valsson et al. 2024 - DTW</t>
  </si>
  <si>
    <t>Nr.</t>
  </si>
  <si>
    <t>2024.01 
(initial release)</t>
  </si>
  <si>
    <t>Version</t>
  </si>
  <si>
    <t>Date</t>
  </si>
  <si>
    <t>Comments</t>
  </si>
  <si>
    <t>Reference</t>
  </si>
  <si>
    <t>Authors</t>
  </si>
  <si>
    <t>Published</t>
  </si>
  <si>
    <t>NGF, Bulleting nr. 9. Guide for execution of total sounding (in norwegian)</t>
  </si>
  <si>
    <t>A preliminary attempt towards soil classification chart from total sounding</t>
  </si>
  <si>
    <t>Norwegian Geotechnical society - Soil investigation committee</t>
  </si>
  <si>
    <t>E. Haugen, S.A.Degago, O.V.Kirkevollen, D.Ngussie, X, Yu</t>
  </si>
  <si>
    <t>Soil behaviour type classification for total soundings</t>
  </si>
  <si>
    <t>S.M.Valsson, S.A.Degago, G.R.Eiksund</t>
  </si>
  <si>
    <t>Swedish Geotechnical society - Soil investigation committee</t>
  </si>
  <si>
    <t>Comparing soundings – JB-totalsounding, CPT and SBT (hejarsounding)</t>
  </si>
  <si>
    <t>Link</t>
  </si>
  <si>
    <t>here</t>
  </si>
  <si>
    <t>0,3705; 0,3652; 0,3599; 0,3746; 0,3653; 0,3719; 0,3469; 0,6637; 0,4698; 0,3394; 0,3421; 0,3410; 0,3320; 0,3463; 0,3451; 0,3668; 0,3428; 0,3492; 0,3329; 0,3468; 0,3457; 0,3445; 0,3583; 0,3459; 0,3337; 0,3400; 0,3094; 0,3304; 0,3220; 0,3137; 0,3272; 0,3261; 0,3034; 0,3060; 0,3015; 0,3041; 0,3067; 0,3092; 0,3189; 0,3108; 0,3028</t>
  </si>
  <si>
    <t>105,9512; 93,2075; 89,1763; 82,4755; 79,4097; 78,2328; 74,0709; 75,9098; 75,2592; 75,4479; 75,2982; 74,5106; 69,5581; 69,7634; 69,5018; 70,9671; 69,2850; 70,5865; 68,3136; 67,2866; 65,2178; 65,1376; 65,0584; 63,7892; 63,8601; 64,0967; 62,5492; 62,3476; 61,4061; 62,5142; 64,9163; 62,5410; 63,4893; 63,7053; 66,8885; 68,2095; 67,8427; 67,8991; 69,0626; 65,9483; 64,2340</t>
  </si>
  <si>
    <t>130,7222; 134,9140; 128,8993; 129,5047; 134,6277; 129,8824; 128,1118; 130,5002; 131,0530; 125,0515; 125,1549; 128,4551; 125,1116; 119,9137; 118,6380; 121,6322; 120,5984; 115,6614; 115,1667; 116,7177; 116,2224; 113,9631; 109,7722; 110,2283; 110,8910; 110,4747; 106,4748; 102,7590; 102,2223; 108,4750; 109,5247; 105,7136; 103,3701; 103,4462; 104,6995; 105,5416; 99,9986; 99,7182; 102,0993; 103,8758; 106,3692</t>
  </si>
  <si>
    <t>1412,6579; 962,9213; 460,4667; 252,7980; 1087,2054; 1389,0090; 136,9737; 853,1931; 359,4160; 28,8130; 663,9679; 231,1802; 124,9061; 167,7157; 314,9649; 389,1141; 372,7503; 405,6148; 411,6675; 285,0247; 477,4987; 314,9192; 356,7768; 377,7555; 380,7645; 421,7928; 350,0387; 277,6118; 336,7590; 253,9425; 67,8648; 268,5407; 145,4989; 32,2696; 16,3473; 227,5400; 399,8310; 126,6536; 260,8336; 340,1327; 327,3348</t>
  </si>
  <si>
    <t>1509,1988; 1443,4137; 1292,9900; 1222,1120; 1072,8735; 824,3546; 623,8728; 461,9835; 358,1436; 286,8859; 227,5376; 185,2945; 188,3855; 202,9127; 212,1562; 210,3234; 240,5150; 265,5533; 290,9499; 339,6079; 385,2485; 404,3405; 413,7396; 444,1128; 538,0043; 582,8923; 626,6935; 648,4168; 662,3933; 651,1002; 609,9520; 586,3091; 575,2500; 569,6717; 570,6829; 467,6776; 524,8170; 538,1193; 541,4390; 539,9227; 549,0537</t>
  </si>
  <si>
    <t>184,9145; 187,4421; 186,4397; 189,5085; 194,6637; 192,9794; 192,2458; 192,1467; 195,5616; 202,4223; 199,8497; 195,1189; 195,2374; 201,8065; 200,7555; 196,7330; 194,4271; 198,5636; 199,9878; 195,8641; 191,8453; 186,5979; 187,8202; 188,2578; 186,4476; 186,9112; 182,6973; 181,7224; 193,4966; 200,7815; 195,4140; 191,3133; 193,0841; 198,9654; 201,5417; 202,2816; 202,9895; 204,3744; 205,0525; 207,9210; 209,0062</t>
  </si>
  <si>
    <t>186,7060; 135,1258; 122,0447; 118,6336; 118,1767; 119,8800; 122,5802; 113,7305; 106,7891; 141,4905; 144,0351; 122,0666; 99,9957; 100,3906; 105,7886; 108,3032; 107,2090; 106,6246; 115,3266; 114,5865; 116,7449; 122,4301; 121,2501; 130,9488; 148,7420; 148,6930; 181,2179; 172,6975; 167,9843; 182,1989; 155,8589; 152,3075; 274,9427; 429,6795; 595,0624; 599,1610; 602,8277; 429,2285; 490,9923; 479,8449; 446,3868</t>
  </si>
  <si>
    <t>209,2636; 199,6439; 195,5327; 198,2377; 182,0015; 188,3899; 188,9453; 184,6604; 183,2197; 180,4851; 171,8703; 176,5518; 177,8365; 163,3465; 162,3219; 161,3560; 148,8866; 149,8574; 150,8321; 144,8308; 115,3840; 131,4981; 139,3997; 133,2553; 128,8720; 129,5047; 129,5625; 121,1621; 121,3156; 114,7990; 114,9958; 114,7102; 115,9238; 112,1891; 112,9169; 118,4689; 114,3499; 111,7083; 121,7414; 125,1267; 123,3929</t>
  </si>
  <si>
    <t>23,2549; 20,0913; 18,6155; 17,2452; 17,1368; 16,7277; 17,3283; 17,0255; 17,0118; 17,7289; 17,0496; 17,4239; 18,0397; 16,5493; 17,4438; 17,9395; 17,0327; 20,0364; 17,3413; 17,2178; 20,2220; 18,8892; 17,9148; 19,2349; 15,4057; 16,5768; 17,0832; 14,7423; 16,3192; 16,7615; 14,3070; 16,4606; 16,7956; 14,2483; 16,9951; 15,2598; 14,5358; 16,4540; 14,4786; 13,7321; 16,4790</t>
  </si>
  <si>
    <t>249,3145; 216,8972; 184,1867; 163,7215; 156,3068; 150,2402; 132,1218; 123,6811; 121,2449; 110,1761; 107,4889; 103,8006; 98,0339; 88,1598; 88,2305; 85,0954; 80,2095; 78,6694; 68,8601; 67,0014; 65,2857; 67,8441; 65,4211; 63,1652; 59,5668; 56,9229; 53,7444; 56,1874; 55,8521; 56,1757; 55,2373; 51,9288; 48,2050; 49,2657; 46,9144; 47,4087; 43,0809; 41,5582; 40,6137; 43,6922; 43,2292</t>
  </si>
  <si>
    <t>256,4058; 251,7906; 249,5278; 252,5781; 290,0979; 389,6472; 455,1726; 201,0652; 194,5437; 186,9173; 158,0982; 145,3383; 143,4047; 147,8817; 146,3873; 148,2044; 37,9890; 97,4315; 98,8404; 94,1287; 85,0954; 77,8267; 76,5714; 75,7114; 99,0213; 212,2217; 210,3634; 324,2047; 417,2440; 498,4992; 572,9542; 596,1092; 672,7387; 712,2980; 753,5117; 561,0323; 348,2782; 181,7656; 146,1321; 164,9750; 148,0771</t>
  </si>
  <si>
    <t>38,6905; 37,9732; 37,6320; 38,5596; 38,3772; 37,0918; 37,2789; 38,2988; 37,5968; 35,4931; 38,0197; 38,1494; 36,9359; 37,3255; 38,3356; 38,5701; 38,3389; 38,1617; 37,6767; 37,1407; 37,6299; 38,4722; 37,5354; 32,5994; 34,0521; 33,6816; 32,3578; 32,2475; 33,9880; 33,2235; 32,3586; 34,3940; 33,6804; 32,9694; 33,0048; 35,4671; 34,4545; 32,5237; 36,1986; 35,7365; 32,1410</t>
  </si>
  <si>
    <t>420,2984; 397,8582; 414,4118; 393,4221; 384,9197; 361,9277; 350,1050; 339,6350; 333,3275; 320,2273; 304,2853; 291,1158; 265,9739; 249,0657; 240,4869; 242,1835; 240,7770; 242,9925; 238,1327; 230,0385; 218,8967; 196,0912; 173,5912; 156,6732; 146,0777; 140,9613; 138,5309; 139,6369; 158,1729; 178,4874; 161,0527; 146,9441; 127,8180; 117,3420; 123,5037; 129,9158; 131,4302; 134,5883; 151,7961; 168,9291; 106,7424</t>
  </si>
  <si>
    <t>466,3450; 454,9816; 444,1381; 431,2787; 418,9624; 409,6602; 395,9758; 378,2191; 361,1888; 353,8235; 351,1304; 337,8045; 329,1847; 325,0409; 316,9927; 303,2675; 301,7527; 298,3807; 295,1311; 284,5591; 274,3206; 273,4241; 272,5508; 268,2273; 260,6046; 258,2807; 256,0326; 221,1891; 242,0476; 248,0833; 247,6723; 248,8180; 252,9846; 251,0199; 249,1128; 241,4078; 236,7820; 232,2797; 233,5242; 233,3476; 230,4293</t>
  </si>
  <si>
    <t>54,3402; 52,6106; 51,7087; 54,8667; 56,2864; 55,6822; 54,2843; 54,4410; 53,8039; 52,3336; 54,1177; 51,5836; 49,6552; 49,6343; 50,3854; 50,2176; 47,5623; 47,4552; 47,0643; 49,6058; 49,1152; 46,0054; 45,1603; 47,0163; 46,8228; 45,8473; 47,4486; 46,8896; 46,5166; 46,1018; 46,5027; 46,9455; 43,6226; 44,6087; 43,4541; 44,3444; 44,5225; 45,1823; 43,9998; 44,3073; 44,2663</t>
  </si>
  <si>
    <t>55,5193; 40,4984; 27,4979; 27,1839; 27,9265; 26,7745; 23,7485; 24,1882; 27,2186; 27,3217; 26,8162; 27,1272; 26,6261; 26,8327; 26,3360; 27,3594; 27,7648; 27,0673; 25,3638; 26,0819; 28,0846; 27,5879; 25,4151; 23,6546; 25,7373; 28,5878; 27,8028; 26,0579; 26,5491; 27,5238; 26,7603; 25,7116; 25,3373; 25,7341; 24,8907; 24,3318; 23,2132; 23,7940; 27,3812; 25,6040; 23,2893</t>
  </si>
  <si>
    <t>66,1142; 49,9059; 42,1628; 35,7605; 37,0354; 37,3510; 34,6082; 33,2537; 33,4232; 33,9215; 32,7670; 31,7924; 31,1562; 31,6570; 31,1910; 30,2552; 30,2786; 30,2233; 30,4801; 29,6524; 30,2159; 30,3912; 31,1694; 16,5316; 16,7205; 16,0166; 16,0585; 16,0265; 16,5770; 15,4588; 15,3597; 15,9747; 16,2991; 15,3517; 15,2556; 18,4271; 32,8991; 61,1209; 145,0117; 220,3249; 268,3175</t>
  </si>
  <si>
    <t>677,1405; 701,9409; 740,2924; 772,3343; 775,5819; 775,7919; 780,4701; 766,3499; 739,5726; 702,0629; 650,9898; 588,7505; 515,5864; 445,5357; 363,4748; 287,0484; 202,4822; 168,2149; 148,6155; 135,2484; 124,4499; 125,0373; 122,8045; 121,0429; 118,5698; 112,7647; 112,3781; 107,9661; 103,3353; 103,1168; 104,6547; 108,5569; 110,9836; 108,9929; 107,3901; 114,2719; 112,9593; 112,9453; 128,7938; 126,4160; 125,0103</t>
  </si>
  <si>
    <t>7,6274; 6,9895; 9,3081; 10,1415; 7,2993; 7,8286; 7,2596; 6,9365; 6,7362; 7,4424; 7,8438; 6,5019; 7,1432; 8,6767; 9,1301; 6,4923; 7,3046; 9,3533; 9,0929; 7,2470; 8,2246; 8,2616; 7,6570; 7,8116; 8,4875; 8,4077; 8,1552; 9,2280; 6,2759; 6,4317; 5,7812; 6,7408; 8,0310; 10,7886; 7,5946; 7,4062; 8,8505; 8,7722; 7,8545; 7,3323; 6,8685</t>
  </si>
  <si>
    <t>766,1810; 755,6376; 759,9586; 758,0827; 751,8208; 753,7574; 764,6302; 772,7916; 775,4191; 789,5894; 791,6572; 782,9352; 397,1676; 194,8134; 590,0251; 650,4506; 645,4615; 640,1391; 629,6492; 618,0030; 611,1382; 606,3635; 602,9480; 602,7849; 601,2896; 597,9364; 593,6441; 591,9023; 595,1208; 595,8939; 596,9189; 599,3544; 604,2843; 606,9914; 603,5098; 597,4903; 593,8512; 592,6520; 591,9016; 591,9324; 591,2377</t>
  </si>
  <si>
    <t>1017,2256; 914,9992; 815,8706; 798,1690; 1224,9255; 1624,7743; 2642,6593; 2373,3059; 2029,0395; 1522,4148; 1356,5674; 2298,3216; 2979,1779; 1694,0039; 659,8624; 650,3550; 700,4693; 1054,0950; 514,4402; 556,9171; 532,5925; 449,4827; 460,8759; 436,9225; 416,5994; 182,6230; 173,8484; 175,1029; 178,7983; 166,1192; 152,6053; 151,3162; 132,9926; 122,1960; 127,4073; 126,8966; 119,6934; 123,9290; 123,5376; 123,7372; 131,8673</t>
  </si>
  <si>
    <t>105,6974; 105,3042; 96,9319; 68,1180; 59,4446; 52,1520; 74,8722; 129,0248; 166,4585; 135,6407; 97,5462; 110,1234; 100,2541; 96,2499; 114,7875; 120,8436; 132,2817; 198,7130; 272,1199; 250,8074; 206,3190; 205,8735; 294,2942; 470,9037; 542,2731; 479,4969; 363,6572; 277,6796; 234,4075; 27,1968; 242,1059; 213,7793; 233,8257; 246,2674; 198,4550; 184,1643; 223,5816; 400,6986; 414,5098; 241,1697; 197,0070</t>
  </si>
  <si>
    <t>1057,1981; 995,9009; 830,9862; 698,8501; 648,9322; 620,1512; 515,4708; 431,5363; 353,0712; 300,4267; 275,7762; 255,8193; 212,6366; 187,7161; 177,9352; 168,8471; 159,5969; 153,6859; 145,6379; 133,2028; 127,1205; 131,5439; 124,4240; 118,4821; 112,1652; 112,4155; 110,5991; 112,1492; 113,6176; 127,2985; 149,2528; 151,4567; 144,4382; 152,7967; 149,3241; 155,0627; 150,1339; 152,5142; 156,8479; 155,1094; 184,1195</t>
  </si>
  <si>
    <t>14,8875; 14,9336; 14,0233; 11,4953; 17,2268; 16,1850; 14,6224; 12,4158; 11,9476; 11,8777; 12,5898; 11,6110; 11,6729; 13,0010; 13,1944; 14,7645; 14,5558; 12,7105; 12,6399; 14,9331; 13,6207; 12,4327; 13,7160; 14,3682; 13,6889; 12,1667; 10,4463; 10,8650; 12,6936; 13,9168; 13,0279; 11,5681; 13,8170; 16,7320; 13,5618; 11,7879; 11,7283; 13,3573; 13,6265; 12,8902; 11,9395</t>
  </si>
  <si>
    <t>145,5579; 155,1739; 108,2353; 122,5751; 160,3376; 157,1812; 151,1563; 156,9494; 136,6005; 115,0131; 129,7102; 125,8184; 140,8392; 135,9827; 113,9830; 94,2695; 78,7272; 90,7277; 98,5315; 103,8419; 105,5606; 102,7076; 121,8679; 116,9057; 105,0816; 89,7926; 88,7743; 90,5636; 92,3224; 87,6333; 82,6126; 81,3790; 85,0954; 93,5501; 96,8744; 98,7071; 85,8705; 89,6163; 99,4023; 127,3581; 139,9195</t>
  </si>
  <si>
    <t>148,8609; 160,5233; 158,3009; 165,5558; 165,3558; 159,6907; 144,0487; 150,0366; 339,1219; 304,3234; 296,4454; 464,0728; 502,5192; 529,7969; 264,1191; 176,2574; 223,8952; 139,8220; 125,0562; 126,7321; 112,6767; 108,2598; 93,1498; 60,3914; 45,1019; 44,4081; 42,0387; 39,0717; 23,3485; 21,0629; 24,6009; 26,1468; 56,5747; 72,3648; 69,2686; 70,1365; 71,5709; 65,4065; 49,9261; 66,0184; 65,7530</t>
  </si>
  <si>
    <t>1563,0677; 1547,3922; 1412,2313; 1113,7044; 1034,1607; 832,2486; 717,8367; 597,3177; 570,1390; 606,4378; 623,6595; 550,1990; 580,6453; 516,8424; 430,3862; 339,3033; 340,6214; 252,5835; 213,1117; 209,6322; 191,4646; 180,0303; 185,6686; 288,4925; 448,4924; 496,8940; 539,9195; 664,1114; 747,4397; 685,6240; 676,2843; 445,5269; 360,8919; 254,5894; 171,4078; 92,9093; 77,6775; 101,6392; 226,9807; 509,3867; 174,1957</t>
  </si>
  <si>
    <t>1669,5613; 1540,2481; 1343,0219; 1357,0771; 1364,3252; 1283,3084; 1356,4075; 1303,7961; 1153,2663; 1184,0932; 1062,7186; 1048,9197; 1047,8301; 901,0049; 894,3972; 826,2552; 768,7006; 753,1505; 780,4556; 928,2322; 752,9821; 733,6701; 752,4995; 759,2861; 798,3290; 765,8221; 753,7948; 234,4571; 565,4364; 685,1114; 741,0219; 656,7910; 637,8860; 629,2928; 623,1797; 607,6337; 577,5662; 583,6125; 581,0211; 629,4722; 756,9599</t>
  </si>
  <si>
    <t>178,8478; 193,9533; 186,3990; 186,4238; 197,1346; 204,7981; 202,2437; 201,7718; 196,3136; 216,3917; 211,3476; 199,5899; 202,5572; 214,5368; 233,8400; 235,0547; 219,0206; 203,4149; 190,9641; 191,3843; 194,7058; 193,2552; 193,6622; 196,5219; 203,7561; 204,8305; 212,3844; 212,9189; 210,8342; 208,0643; 189,7445; 196,1171; 191,8432; 196,7901; 196,4791; 195,1902; 229,3668; 233,7155; 198,1748; 169,3500; 183,3998</t>
  </si>
  <si>
    <t>2384,9098; 1716,8365; 1449,9804; 1267,4732; 1171,9275; 1062,0926; 876,1465; 659,3647; 476,9820; 333,8670; 240,7303; 165,3675; 95,9722; 50,7586; 40,5883; 26,3453; 23,6376; 20,0363; 19,0345; 17,0617; 19,3399; 18,4990; 18,6613; 29,5594; 33,5903; 68,0099; 74,3785; 74,1303; 75,3915; 72,9595; 62,9818; 59,0375; 59,2770; 68,4602; 75,8891; 94,4159; 132,5932; 200,3933; 91,8134; 62,2649; 90,1073</t>
  </si>
  <si>
    <t>253,1712; 262,0593; 282,2762; 279,9396; 250,8074; 222,3259; 193,0108; 162,7653; 147,0847; 146,8004; 139,7161; 131,2594; 133,4281; 133,4493; 124,5080; 117,6758; 112,3982; 101,6197; 97,8680; 94,6670; 95,5723; 102,1458; 97,6821; 90,5221; 91,8134; 88,2908; 85,2398; 81,0452; 83,9757; 80,9662; 75,3237; 15,6831; 38,8593; 39,2692; 40,9482; 40,3726; 39,1887; 41,1037; 42,6687; 43,5930; 43,9031</t>
  </si>
  <si>
    <t>29,3104; 30,5177; 32,3151; 29,7514; 26,8517; 24,8169; 28,3889; 29,0913; 27,1950; 27,1835; 25,4326; 25,7774; 26,5948; 25,0965; 27,0490; 24,1830; 23,7371; 22,7328; 27,3741; 31,6393; 31,1691; 28,8066; 29,2444; 31,1053; 35,1616; 31,0698; 24,2783; 26,0267; 33,7106; 32,3923; 26,8906; 20,1450; 23,1582; 27,4071; 28,3531; 23,6076; 22,2592; 23,0091; 25,9303; 27,3767; 33,2553</t>
  </si>
  <si>
    <t>33,0704; 30,9546; 33,1581; 35,3428; 31,0421; 27,0253; 32,4706; 34,3618; 33,2171; 31,2399; 33,3149; 38,2693; 49,3922; 60,3192; 59,8405; 56,9360; 54,2868; 49,2657; 45,7172; 58,5479; 52,6417; 78,5794; 92,7827; 97,8182; 106,9455; 106,3610; 104,2759; 102,6074; 104,2578; 107,7271; 111,3210; 123,8690; 131,2354; 141,1564; 161,3560; 181,4637; 201,4660; 205,2990; 200,6609; 187,7348; 112,9694</t>
  </si>
  <si>
    <t>403,5909; 472,8347; 531,0085; 564,6235; 571,6105; 560,0691; 551,9332; 546,2302; 536,0574; 523,1473; 503,6498; 483,3362; 450,2383; 406,2340; 355,7169; 321,0619; 297,5702; 283,6844; 271,6130; 266,3398; 199,5201; 210,0177; 258,0351; 264,1014; 258,5007; 267,9651; 354,3557; 381,6598; 386,3422; 406,8928; 421,2105; 412,4737; 405,2698; 398,9165; 396,2528; 396,7710; 390,9683; 390,2779; 402,9835; 415,8392; 412,6524</t>
  </si>
  <si>
    <t>606,3776; 547,3548; 531,3329; 494,8511; 457,8579; 421,3494; 430,7738; 437,9834; 419,8370; 376,8219; 351,1784; 314,2950; 298,2971; 317,0391; 326,5348; 312,2978; 267,1330; 248,4259; 258,0153; 260,8673; 254,3022; 246,4624; 235,2308; 225,5904; 228,5099; 215,5771; 224,5572; 217,0944; 194,8539; 170,9073; 174,4927; 193,9802; 201,9149; 188,1339; 184,8585; 182,8804; 169,2349; 145,5309; 142,0389; 123,2697; 116,3942</t>
  </si>
  <si>
    <t>70,6280; 107,6052; 113,2308; 15,6471; 70,0637; 50,4269; 30,7228; 79,2407; 66,7274; 50,5830; 53,8486; 54,3107; 58,0196; 53,3670; 49,8629; 46,7065; 60,6572; 58,4639; 52,5533; 48,4879; 47,4929; 54,8295; 63,2503; 71,2295; 92,8435; 102,5002; 101,2538; 103,9668; 131,9495; 200,5393; 316,2134; 338,1003; 390,1449; 429,2571; 474,1115; 484,1640; 491,7177; 520,9763; 559,7201; 578,1812; 564,1816</t>
  </si>
  <si>
    <t>70,6753; 60,6296; 55,3252; 54,1664; 50,1615; 47,6887; 44,9425; 46,0448; 47,7829; 50,8184; 51,7997; 50,4872; 48,5480; 46,6579; 44,5071; 42,1053; 41,8923; 41,3875; 40,0151; 38,0690; 37,9127; 40,0767; 39,0360; 37,1883; 37,8948; 36,6663; 34,9047; 34,7942; 34,1620; 34,5803; 35,5264; 38,2768; 43,5074; 36,9832; 36,8597; 33,5238; 32,7121; 35,0687; 35,2052; 33,9102; 33,1255</t>
  </si>
  <si>
    <t>706,6400; 600,7356; 536,2128; 540,0037; 547,9287; 701,8908; 749,6231; 841,8172; 830,2828; 752,0905; 675,9644; 542,2321; 495,4193; 540,6229; 591,4688; 795,2414; 1156,5594; 1321,9854; 1314,0020; 1444,9267; 1250,6781; 854,8008; 1322,3933; 1139,3386; 600,7861; 501,4586; 470,4675; 532,2691; 514,8075; 665,8022; 624,2194; 712,5252; 783,5045; 578,3236; 255,0277; 194,9081; 105,5398; 139,8984; 200,3020; 231,7926; 163,6657</t>
  </si>
  <si>
    <t>7619,3951; 4674,2884; 1791,4816; 1164,1337; 985,3149; 788,7520; 537,4445; 533,3642; 468,3978; 391,1709; 358,2963; 343,4284; 331,7040; 329,9820; 317,2415; 292,3268; 282,1583; 294,3009; 290,0979; 301,7723; 362,9616; 355,9902; 353,1286; 329,3288; 292,7153; 283,0505; 248,5681; 206,2900; 168,6512; 147,9548; 123,8230; 112,6111; 110,7235; 114,9840; 130,8253; 148,6875; 167,9514; 164,9540; 154,6219; 145,0487; 137,4148</t>
  </si>
  <si>
    <t>84,5355; 86,4309; 75,0734; 67,9108; 69,3477; 75,3318; 71,9792; 60,4831; 68,7551; 86,0976; 97,3257; 90,1764; 73,6272; 71,8951; 72,0269; 72,3229; 72,4496; 62,6044; 62,7992; 72,3333; 74,0586; 70,4377; 64,1842; 61,7782; 63,9148; 67,0248; 65,0332; 59,1074; 62,3387; 69,5095; 70,3157; 62,2865; 79,9979; 80,0606; 80,9947; 85,0219; 86,9902; 83,2255; 79,3694; 81,5451; 84,9554</t>
  </si>
  <si>
    <t>101,6494; 103,7910; 102,5914; 95,3726; 89,5995; 94,1542; 102,2441; 101,4586; 93,2924; 97,0747; 102,9770; 106,8857; 92,6038; 84,6196; 83,0522; 82,3674; 77,4767; 76,4290; 79,3842; 81,5638; 78,2574; 70,2646; 70,7619; 74,9985; 77,6204; 70,7635; 72,2700; 81,2253; 88,8354; 87,2495; 86,6706; 92,8215; 98,8382; 101,3899; 91,2422; 90,4015; 90,0053; 94,6861; 94,7216; 95,6406; 110,4747</t>
  </si>
  <si>
    <t>103,6820; 97,8761; 101,9438; 93,9486; 77,1559; 69,4697; 80,2272; 84,2378; 69,0467; 57,2177; 63,0602; 74,4694; 79,2386; 78,2506; 106,1619; 129,6381; 117,2461; 101,9887; 117,8362; 156,3751; 179,2974; 236,7105; 260,1983; 324,7416; 337,3024; 370,5611; 395,8903; 394,7944; 365,6730; 217,4443; 169,0391; 199,5862; 228,1651; 231,2974; 214,0094; 205,7815; 199,8916; 192,4098; 185,8088; 192,6410; 202,9973</t>
  </si>
  <si>
    <t>1567,5464; 1518,6878; 1287,6274; 1240,0842; 1154,7058; 1098,7754; 1052,3555; 982,6803; 913,1580; 865,0970; 850,8418; 774,1760; 749,1650; 702,8644; 677,4040; 716,5926; 726,8420; 713,2751; 716,5926; 685,7050; 623,9581; 563,4498; 519,2497; 532,0157; 482,1193; 454,2046; 487,6811; 451,5018; 397,1314; 422,6059; 401,9077; 405,2681; 391,3534; 397,8235; 435,6557; 475,7379; 496,5033; 583,1368; 651,2782; 723,9048; 723,7138</t>
  </si>
  <si>
    <t>176,3733; 125,0702; 98,2049; 91,9048; 99,3824; 86,5005; 96,0337; 110,9113; 118,3539; 104,3538; 86,6549; 68,3985; 55,5591; 56,5911; 62,2540; 68,5021; 70,0339; 70,3796; 70,3646; 76,4480; 83,7721; 81,8199; 81,3082; 74,3854; 73,0029; 78,1881; 72,9033; 66,1682; 56,4680; 54,1625; 50,3854; 48,8295; 44,0119; 40,5068; 45,2349; 48,1322; 41,8650; 43,3301; 48,0661; 37,9109; 35,0485</t>
  </si>
  <si>
    <t>188,1056; 192,7663; 185,9746; 188,6072; 197,9516; 189,3399; 175,6142; 168,8714; 169,1228; 168,8574; 154,3456; 139,0419; 130,9854; 139,4702; 144,2077; 149,6933; 146,1745; 139,9676; 138,6479; 161,8051; 181,7975; 161,2647; 153,6133; 156,4149; 145,9873; 150,1737; 140,9884; 154,4702; 144,4830; 128,2511; 124,7555; 134,0391; 126,7706; 137,2217; 138,2082; 137,6132; 149,0728; 159,1207; 144,1303; 130,5779; 118,5751</t>
  </si>
  <si>
    <t>207,1401; 182,9811; 168,4846; 155,4694; 146,5758; 148,7910; 151,8865; 148,8988; 138,5599; 128,4240; 127,6431; 127,7768; 124,4563; 127,8083; 140,9962; 184,8197; 153,1557; 153,9954; 173,3567; 264,6004; 516,9171; 384,2411; 750,9053; 943,0469; 906,2377; 897,6404; 849,5966; 865,5230; 858,1987; 770,3031; 799,7686; 700,8947; 720,6359; 639,3593; 559,8380; 526,2606; 563,0792; 626,4759; 610,9412; 626,1514; 618,6210</t>
  </si>
  <si>
    <t>2372,5934; 2224,0837; 2049,9401; 1883,6395; 1741,0962; 1625,0231; 1548,6518; 1432,5266; 1318,1074; 1214,5538; 1137,0310; 1042,3650; 993,9669; 898,1749; 840,2235; 811,0933; 737,6942; 666,4146; 620,2205; 642,0763; 615,4486; 588,3717; 536,3948; 476,0319; 441,6134; 415,5597; 388,4654; 388,8604; 380,3952; 380,4027; 378,7304; 371,6778; 365,4942; 372,6178; 409,4451; 415,7730; 406,7345; 406,6568; 425,7101; 455,8681; 472,2793</t>
  </si>
  <si>
    <t>25,6191; 17,9224; 15,4427; 13,4747; 11,6287; 12,3297; 15,1558; 15,9697; 14,9065; 14,7503; 15,1956; 15,3707; 13,8536; 12,7354; 16,7927; 24,8529; 21,8163; 14,6843; 12,5540; 13,4737; 12,0149; 10,7067; 10,2639; 9,5420; 10,2123; 17,6915; 26,5915; 23,8477; 19,0026; 20,5075; 16,6760; 15,1806; 14,3206; 12,2521; 11,1970; 10,3847; 9,5423; 9,3689; 11,5395; 21,5299; 25,9558</t>
  </si>
  <si>
    <t>349,5301; 451,8635; 442,5386; 391,9656; 307,9890; 199,9716; 161,9968; 150,8921; 151,0567; 235,0581; 311,5377; 382,5439; 444,6781; 324,0224; 291,9555; 268,5145; 220,8047; 180,7315; 163,2264; 144,9814; 133,0219; 115,1418; 124,6285; 182,4752; 231,1603; 292,0785; 319,4601; 339,7857; 426,5762; 468,8921; 507,9930; 553,2190; 292,0194; 237,9750; 147,8358; 171,9899; 154,4394; 137,1650; 134,6410; 139,9132; 130,8552</t>
  </si>
  <si>
    <t>351,0902; 329,3548; 357,1486; 424,6198; 441,2616; 430,5761; 403,8565; 340,0917; 290,5689; 246,5604; 220,8561; 215,3552; 193,3058; 159,6830; 119,2455; 114,5922; 90,5032; 91,9077; 100,5142; 107,0964; 103,0330; 90,6824; 74,9959; 74,9185; 73,5254; 72,5941; 77,7098; 81,8750; 84,0602; 80,5539; 77,5272; 83,1847; 86,2965; 74,4231; 65,9609; 63,5936; 56,9463; 56,0617; 54,4201; 56,6346; 59,7603</t>
  </si>
  <si>
    <t>42,6059; 40,7995; 38,0259; 38,9533; 42,6894; 45,7166; 44,1152; 37,4987; 33,0512; 35,1015; 41,7557; 48,8179; 37,9476; 29,2457; 35,1498; 45,7941; 49,2262; 46,4895; 36,9233; 36,2568; 45,3791; 45,7212; 42,4841; 34,2482; 28,3190; 35,3292; 37,4718; 35,0873; 30,8588; 28,4018; 27,2495; 27,1022; 29,9182; 34,2369; 35,7343; 29,3012; 28,3219; 29,4047; 35,1298; 36,3053; 33,0016</t>
  </si>
  <si>
    <t>482,2693; 464,7563; 423,5322; 382,2976; 352,0821; 320,6643; 301,1928; 294,8654; 332,5947; 415,7730; 461,2578; 514,7174; 551,0672; 576,3361; 713,0097; 811,3480; 876,2757; 911,2050; 960,1014; 992,7251; 1057,1341; 1084,5142; 1111,4135; 1150,4576; 1157,8943; 1219,3088; 1213,8371; 1197,2002; 1209,9149; 1209,1123; 1166,9738; 41,2442; 43,0417; 37,6471; 37,8770; 14,8554; 106,0893; 173,2890; 90,1793; 103,3088; 92,5206</t>
  </si>
  <si>
    <t>507,2132; 507,3732; 468,8278; 441,0801; 442,7008; 357,3299; 288,8298; 263,0892; 287,2997; 288,2204; 287,7119; 267,2367; 246,9434; 217,3476; 167,3270; 143,8091; 141,1003; 156,1896; 142,2196; 161,1717; 178,4764; 207,0291; 181,0076; 163,4529; 147,8562; 128,6167; 121,7744; 118,3029; 124,7395; 150,0178; 226,3052; 299,7771; 361,1414; 340,0538; 294,6193; 212,8997; 209,6993; 274,7702; 319,7200; 322,2237; 364,4804</t>
  </si>
  <si>
    <t>56,6855; 64,6298; 59,7111; 52,7053; 55,9111; 53,2677; 49,7682; 45,9709; 43,4406; 44,0265; 42,2118; 41,9496; 41,5248; 39,9237; 42,3429; 41,7605; 45,4615; 45,0150; 46,5465; 47,3974; 53,0463; 51,4789; 54,3564; 65,0965; 56,7174; 52,3241; 47,2172; 55,5916; 55,5938; 49,0280; 41,0050; 39,4299; 63,5262; 116,9235; 184,7344; 215,6314; 217,8552; 192,4406; 163,3655; 153,8281; 131,3085</t>
  </si>
  <si>
    <t>631,3999; 925,6811; 974,1181; 966,8715; 684,7938; 475,7641; 425,9075; 410,0647; 391,4719; 384,7635; 393,8860; 396,3998; 401,1529; 397,9633; 397,8582; 397,5762; 401,9998; 432,0351; 437,0235; 427,5512; 419,0303; 314,9877; 441,2841; 466,8465; 473,7829; 521,2609; 641,0145; 645,3694; 787,7072; 104,9418; 246,9180; 267,1762; 234,2707; 160,1500; 58,2232; 118,4737; 349,0112; 237,9669; 466,2651; 535,5686; 637,4341</t>
  </si>
  <si>
    <t>6359,7596; 5194,9967; 4344,3428; 3671,0659; 3004,4639; 2607,2076; 2298,1350; 1972,1566; 1601,1367; 1390,3384; 1166,3291; 1032,2278; 882,9445; 782,5388; 688,6007; 602,1048; 542,4208; 489,7962; 451,2294; 431,3251; 422,4232; 414,7898; 409,6148; 402,1560; 414,2801; 391,1002; 339,9016; 286,9170; 262,0042; 242,0092; 223,2354; 213,4393; 201,5417; 187,8009; 174,1718; 159,4812; 150,2723; 141,8176; 118,1258; 100,7932; 69,8465</t>
  </si>
  <si>
    <t>87,2899; 76,3496; 62,5799; 57,9584; 56,0387; 53,8755; 50,7442; 45,1440; 42,9460; 41,1441; 40,3297; 38,5572; 36,1888; 36,7443; 38,4980; 38,0794; 38,3800; 43,6622; 43,6982; 41,6172; 36,5116; 35,2926; 41,0548; 46,7553; 45,7468; 79,3029; 96,8470; 25,8561; 82,5515; 94,7862; 67,5019; 52,3873; 44,4975; 42,4324; 40,2701; 37,4686; 43,5250; 42,8028; 41,8608; 39,5307; 34,1128</t>
  </si>
  <si>
    <t>93,9408; 126,9876; 206,4469; 239,1940; 385,8811; 482,3067; 532,1869; 571,8447; 578,2660; 585,3392; 583,6199; 568,8832; 549,7609; 524,1351; 493,7771; 444,6539; 406,6423; 385,3257; 372,1571; 379,0957; 375,5766; 384,9850; 391,0197; 405,8914; 391,3967; 386,0987; 361,5536; 344,4591; 324,7390; 303,8703; 291,4037; 291,3050; 296,8074; 281,3608; 283,0057; 284,3081; 259,9416; 245,7761; 231,0552; 216,1400; 228,2459</t>
  </si>
  <si>
    <t>935,0694; 836,2962; 766,9780; 673,2132; 598,4668; 548,8833; 496,9593; 459,8710; 443,6716; 429,3548; 414,0668; 395,0113; 361,2482; 319,9785; 273,7851; 238,1813; 218,3835; 195,5091; 170,7282; 148,2802; 120,3221; 101,9539; 92,5599; 79,6802; 75,6981; 78,5345; 76,3696; 74,6577; 73,0402; 71,0719; 70,6841; 69,9175; 70,2947; 67,7662; 65,6877; 61,4986; 62,3396; 65,5578; 39,1887; 41,6646; 35,4875</t>
  </si>
  <si>
    <t>979,7165; 950,0630; 1079,4994; 1127,5770; 1173,7937; 1233,4953; 1200,9998; 1355,1307; 1321,2177; 1444,6895; 1437,9839; 1404,5728; 1384,3267; 1353,5906; 1333,8749; 1357,9437; 1381,4002; 1543,3505; 1512,4583; 1825,3195; 2043,4087; 40,9913; 33,1756; 32,1612; 32,7905; 36,7233; 43,6288; 49,0026; 119,0589; 113,9777; 116,6630; 115,6959; 129,1126; 130,9193; 103,1459; 101,6073; 60,2649; 68,1811; 112,9273; 81,7332; 95,1725</t>
  </si>
  <si>
    <t>101,6975; 93,6305; 97,8699; 91,8387; 92,3544; 93,5899; 90,8804; 95,1663; 96,0830; 92,1194; 93,0426; 102,0297; 96,2681; 91,2626; 96,0777; 92,5243; 89,1380; 91,2741; 89,7140; 91,8250; 91,3517; 87,6563; 91,6192; 86,9028; 87,2556; 91,1608; 87,0324; 87,3904; 87,4678; 88,4599; 90,4632; 88,2305; 83,1060; 83,9703; 86,5811; 84,5382; 85,3833; 83,6202; 66,9059; 59,4637; 54,0374</t>
  </si>
  <si>
    <t>1190,5515; 1186,6381; 1220,7667; 1236,6431; 1253,3246; 1302,1085; 1308,8525; 1297,6806; 1304,7024; 1299,5554; 1293,2705; 1281,0850; 1273,2439; 1290,6273; 1287,8762; 1273,0105; 1283,0687; 1294,7383; 1304,0750; 1319,1681; 1318,0826; 1311,1589; 1313,8495; 1307,5683; 1300,4337; 1289,0399; 1267,4732; 1237,1918; 1195,2870; 1148,4306; 995,1040; 1006,3206; 986,4345; 967,0933; 944,6434; 923,0907; 895,6229; 867,1236; 833,3260; 814,2737; 800,7363</t>
  </si>
  <si>
    <t>127,1205; 148,9530; 172,4301; 177,1802; 165,2510; 149,8446; 160,2381; 218,9723; 565,0239; 678,5236; 776,2714; 748,2166; 928,0514; 1114,0516; 1153,2154; 1200,5415; 1221,9073; 1191,6211; 1163,1101; 1129,6845; 1108,6136; 1088,3690; 1095,3876; 1096,0149; 1099,3974; 1087,5922; 1094,2034; 1099,2075; 1058,6343; 1063,1608; 1060,0719; 1036,9668; 165,0980; 49,3724; 40,3783; 251,1864; 859,1986; 920,1731; 895,5432; 873,5095; 889,6945</t>
  </si>
  <si>
    <t>13,7540; 13,4721; 12,5605; 12,4416; 12,6374; 12,9882; 13,3369; 13,2948; 12,8657; 12,5165; 12,0925; 11,8246; 11,6349; 11,5226; 11,2590; 11,4517; 11,7188; 12,0596; 12,5486; 13,1843; 14,1147; 14,3697; 13,6587; 13,2478; 12,2494; 12,3599; 12,1765; 12,2865; 11,8858; 11,9961; 11,8159; 11,8535; 11,8908; 12,4307; 13,2538; 13,1440; 12,6077; 11,6485; 11,8982; 12,1464; 12,1821</t>
  </si>
  <si>
    <t>134,6810; 116,7449; 190,6248; 284,7929; 271,4592; 147,5615; 99,8751; 83,3892; 80,6167; 234,8399; 364,0813; 443,5708; 477,3265; 526,8283; 594,3880; 625,6286; 648,8149; 384,4462; 247,1685; 158,2475; 279,3921; 293,8030; 339,7595; 327,5506; 294,1801; 262,5210; 206,6922; 149,2173; 98,2116; 79,7834; 74,4076; 67,2801; 60,9493; 58,2232; 57,4767; 59,5028; 59,6563; 61,9993; 60,8070; 61,7723; 59,3843</t>
  </si>
  <si>
    <t>158,6536; 154,8097; 153,1290; 154,2940; 150,6008; 149,4833; 142,7762; 131,9388; 119,8834; 112,2443; 94,3284; 84,3575; 76,1722; 66,7719; 60,7509; 58,4936; 61,0518; 66,6941; 68,5342; 66,2815; 66,7825; 74,1383; 76,2532; 74,4154; 71,2016; 69,6398; 68,8195; 65,3373; 58,4165; 55,5584; 55,5199; 56,7568; 57,6673; 55,6435; 52,1359; 49,4386; 49,8138; 51,2008; 50,2455; 48,6768; 49,8217</t>
  </si>
  <si>
    <t>220,9027; 255,1014; 257,5255; 242,2572; 227,7421; 209,5235; 189,0277; 176,1044; 164,7216; 160,5935; 156,5434; 153,4061; 151,5710; 149,7695; 155,9403; 163,0087; 167,7515; 169,6359; 165,5942; 161,8175; 156,1755; 141,6342; 134,1713; 126,8339; 122,7911; 97,9022; 74,3391; 72,6424; 105,1051; 139,9147; 169,3732; 184,4380; 184,7465; 207,2703; 214,2888; 216,0718; 212,3991; 202,2152; 172,4635; 144,9773; 123,6583</t>
  </si>
  <si>
    <t>26,6178; 34,1874; 38,5558; 165,9503; 375,9312; 513,6799; 610,3130; 670,7957; 711,8125; 758,1685; 763,0799; 754,4173; 737,2267; 713,2532; 684,2379; 654,0046; 619,5167; 585,7190; 553,0477; 515,1576; 491,5378; 473,0889; 453,2313; 433,9329; 424,0937; 413,0144; 400,7480; 388,1018; 383,4268; 381,7635; 359,6278; 294,7286; 296,7141; 305,8024; 301,8819; 287,7709; 276,9798; 264,8241; 248,1584; 230,9770; 207,3267</t>
  </si>
  <si>
    <t>301,3087; 287,7280; 277,6417; 270,5476; 266,8001; 261,8191; 262,8485; 260,7115; 247,5929; 235,7231; 230,5822; 218,6278; 223,1654; 234,4029; 254,2009; 252,8416; 250,9262; 247,1032; 244,6910; 247,4567; 258,5134; 266,3848; 271,3673; 281,2723; 288,6525; 285,8747; 289,6649; 290,3328; 284,2111; 275,5021; 268,1394; 265,2642; 259,1293; 260,5013; 262,7058; 266,6015; 273,3188; 276,7429; 287,3205; 325,1828; 340,4246</t>
  </si>
  <si>
    <t>33,5903; 37,6047; 36,9078; 41,1232; 59,5828; 58,5382; 59,0726; 62,8004; 66,4341; 103,8924; 102,2156; 135,7843; 132,2617; 130,2282; 148,2722; 148,8930; 149,5097; 147,3441; 69,4199; 68,4427; 60,6491; 59,8188; 56,5890; 55,8349; 56,2785; 55,5479; 62,2999; 59,8152; 57,3834; 56,8132; 56,2569; 63,9433; 63,1817; 58,7504; 58,0669; 54,0536; 55,2204; 54,6002; 49,2657; 48,7246; 47,2211</t>
  </si>
  <si>
    <t>369,5792; 373,2253; 320,3073; 285,4788; 285,8160; 329,8349; 364,1746; 429,2770; 467,3659; 458,2354; 421,5580; 384,2002; 372,7932; 375,8666; 382,4813; 426,6239; 568,9554; 658,8382; 760,8707; 877,5274; 985,3635; 1098,0448; 993,5725; 787,7949; 596,6529; 484,0074; 425,9075; 401,1398; 414,2386; 479,7099; 547,6815; 549,3091; 434,5115; 371,2011; 342,4342; 406,6810; 492,6936; 591,2245; 644,3385; 703,3977; 770,7442</t>
  </si>
  <si>
    <t>393,5661; 376,3533; 363,0949; 345,8269; 317,0719; 279,6912; 234,1583; 215,6001; 185,2131; 159,2848; 137,0483; 134,1411; 125,7482; 121,4784; 112,7970; 111,3546; 111,9676; 108,4359; 105,0179; 96,4084; 94,4260; 101,1372; 98,9649; 97,5722; 99,7211; 100,9398; 111,6283; 109,4653; 84,3050; 85,1930; 86,3750; 87,2070; 90,5071; 90,9556; 92,9028; 98,8276; 102,5387; 110,2173; 136,6579; 151,2184; 180,2678</t>
  </si>
  <si>
    <t>46,6052; 48,4147; 45,4238; 44,5965; 50,9981; 57,0113; 56,8774; 54,3108; 57,0825; 65,4423; 66,8785; 62,3226; 50,4062; 52,5653; 54,6010; 43,9479; 39,1476; 39,4628; 40,8145; 38,5332; 36,4913; 38,4143; 40,6782; 39,1558; 38,2152; 40,8569; 42,8088; 41,2953; 34,7100; 36,7174; 43,4982; 39,9757; 33,7885; 36,5613; 43,6723; 42,9070; 36,9837; 41,2786; 44,5035; 40,9328; 39,1351</t>
  </si>
  <si>
    <t>547,8575; 555,7962; 547,8948; 526,2998; 510,7758; 513,8566; 514,3694; 543,4478; 591,8421; 609,4693; 610,7161; 588,2031; 573,0157; 568,9644; 572,1130; 567,4111; 552,8800; 530,6086; 512,9660; 509,9650; 503,7049; 484,8013; 472,2866; 470,4772; 468,7244; 466,6809; 461,9851; 456,4267; 449,3852; 446,4424; 446,4628; 447,1134; 444,0137; 36,3818; 347,8864; 383,8548; 387,0543; 394,5331; 404,6911; 441,8043; 465,6732</t>
  </si>
  <si>
    <t>569,5256; 556,3598; 473,4363; 391,8866; 298,8191; 249,9732; 231,9021; 216,8369; 163,5556; 194,6200; 222,3756; 208,9669; 137,4113; 132,9568; 147,2001; 162,5549; 190,9228; 201,1862; 196,4681; 179,0793; 147,6276; 106,0851; 100,9026; 90,5153; 69,8678; 56,3938; 125,7458; 123,0110; 113,6925; 89,4845; 74,7236; 50,7199; 35,8296; 30,0753; 35,5497; 54,5738; 95,0905; 106,4097; 112,1542; 133,1756; 111,8634</t>
  </si>
  <si>
    <t>57,1968; 49,7136; 41,6864; 36,3273; 35,0299; 35,5980; 39,6365; 51,0717; 47,7962; 36,0332; 30,3630; 35,5097; 33,7769; 30,0194; 27,8740; 32,4993; 54,6402; 111,4214; 307,8043; 512,0825; 629,0543; 782,7282; 953,1364; 1001,4191; 1055,8545; 1243,9372; 364,9248; 360,3161; 340,8121; 326,4806; 330,5947; 307,4427; 341,7411; 299,8767; 303,7411; 311,0422; 282,7182; 306,8279; 259,6204; 286,7081; 260,1147</t>
  </si>
  <si>
    <t>60,3225; 62,3137; 62,0660; 56,1155; 56,6665; 58,3594; 55,8489; 57,7919; 65,7143; 59,9607; 59,0135; 62,0733; 58,3273; 53,0710; 57,1421; 59,5674; 58,4013; 64,5199; 81,7741; 79,1284; 76,2624; 73,4912; 66,5654; 65,8343; 66,2069; 105,4149; 203,1068; 245,2443; 273,7250; 281,9917; 288,6407; 288,4772; 288,5498; 293,2039; 300,6965; 306,5604; 310,8815; 317,9994; 320,6345; 321,2731; 318,6598</t>
  </si>
  <si>
    <t>623,3033; 590,8406; 554,9698; 516,9568; 458,4607; 414,4172; 393,3198; 390,4376; 379,1395; 369,6621; 347,3069; 330,6912; 318,1879; 305,2590; 292,3513; 272,3659; 246,8886; 227,0923; 211,1131; 201,5061; 196,8180; 192,6532; 170,3265; 179,9169; 178,3578; 176,8439; 178,5403; 184,0053; 184,5288; 190,4369; 193,8553; 246,4481; 168,9827; 164,5487; 199,0726; 170,9844; 156,8386; 150,6448; 150,0093; 157,4022; 170,7772</t>
  </si>
  <si>
    <t>714,5718; 657,6680; 686,3614; 91,5763; 82,9602; 75,8291; 66,8243; 17,0090; 8,8579; 1,6241; -4,2353; 4,4787; 1,5723; 18,5277; 14,1359; 4,5249; 17,9605; 18,9101; 16,0338; 13,8795; 15,9389; 14,6971; 14,3405; 7,5925; 3,5069; 2,6370; 4,2714; 6,0812; 8,8760; 17,4710; 24,5129; 32,2229; 30,1723; 28,5469; 30,2313; 29,5901; 20,0403; 13,4737; 12,0552; 14,5465; 19,9339</t>
  </si>
  <si>
    <t>800,7363; 787,2566; 774,3788; 759,9227; 749,8097; 745,2036; 736,7989; 729,6169; 717,5087; 707,1823; 700,0712; 694,3468; 690,2072; 684,2304; 681,2395; 677,3686; 672,8786; 666,1726; 660,0604; 655,4289; 649,0986; 649,5451; 644,9334; 643,2375; 647,8187; 656,7913; 671,2986; 698,3011; 720,0346; 736,4386; 758,0410; 764,7286; 771,0969; 785,2793; 786,0518; 788,1740; 786,7847; 792,1181; 789,2008; 782,3807; 774,3679</t>
  </si>
  <si>
    <t>1040,4589; 1086,6319; 1146,0683; 1167,3273; 1246,6574; 1321,4665; 1340,9337; 1377,2015; 1380,2339; 1373,5454; 1335,3256; 1248,9876; 1093,1913; 1019,3277; 980,1312; 995,6973; 993,9124; 837,7926; 721,0327; 642,0108; 586,5236; 542,7675; 523,1776; 505,9869; 513,8263; 535,5496; 602,0803; 657,2665; 651,2233; 631,7244; 726,0299; 778,2537; 777,7083; 819,8176; 859,5783; 898,8759; 900,3079; 883,0899; 848,2263; 787,3165; 706,0957</t>
  </si>
  <si>
    <t>1089,6447; 1346,3969; 1765,0639; 1700,4093; 1911,0426; 1969,0195; 1931,5254; 1750,8642; 1594,7385; 1403,8394; 1267,3093; 1150,9831; 1081,2070; 1005,6291; 936,5709; 881,3123; 845,1192; 804,1731; 737,9751; 656,4002; 589,5427; 511,0933; 484,2060; 484,6911; 469,4610; 447,1480; 411,8683; 372,4318; 358,2958; 350,6944; 333,6124; 311,9018; 311,0774; 320,9285; 300,8816; 279,6459; 281,3241; 279,6557; 266,9492; 222,4101; 246,3696</t>
  </si>
  <si>
    <t>12426,1641; 10642,8934; 7108,8228; 4589,7758; 3571,0199; 2280,3001; 1611,7736; 1114,2020; 899,7716; 773,1872; 710,6210; 602,5579; 620,3005; 643,1419; 642,1342; 593,8235; 539,6838; 494,7789; 458,8432; 419,9318; 375,3968; 328,8926; 297,4606; 264,9601; 244,4339; 207,1815; 185,3864; 150,4227; 128,2402; 117,6021; 104,8297; 97,5815; 84,8319; 87,5267; 84,4733; 91,2687; 96,5279; 105,5366; 107,3769; 109,1274; 112,9273</t>
  </si>
  <si>
    <t>140,9367; 122,7609; 117,0261; 90,6838; 73,1522; 67,9984; 61,9297; 60,6730; 62,8347; 59,4087; 57,7006; 55,0770; 61,2518; 60,7538; 54,2140; 57,9365; 67,1095; 66,1226; 53,2021; 55,2373; 73,0373; 77,3346; 61,2090; 61,6243; 74,7342; 74,1806; 71,9392; 72,2641; 86,1826; 84,7248; 74,4265; 79,0285; 87,4136; 90,6389; 79,3881; 80,4313; 88,5771; 101,5325; 104,9469; 111,6219; 121,6416</t>
  </si>
  <si>
    <t>145,7818; 164,8778; 189,2683; 210,2033; 219,5809; 220,0672; 230,5333; 248,8824; 277,7955; 227,1614; 208,4463; 170,1540; 159,4635; 202,0749; 209,4144; 202,4030; 165,0674; 134,5282; 122,9997; 161,4605; 200,1021; 198,8608; 195,1657; 187,8908; 172,3393; 157,7997; 138,9282; 127,5267; 113,8337; 86,0308; 79,9169; 104,6413; 160,4414; 162,8252; 151,5561; 143,1868; 131,6270; 123,1644; 98,3534; 84,4160; 112,5896</t>
  </si>
  <si>
    <t>17,2495; 22,5385; 25,8325; 25,8399; 17,1421; 13,0759; 13,7316; 17,1581; 21,6420; 22,2259; 16,2656; 14,5332; 14,4364; 16,1204; 16,1911; 16,2609; 16,8533; 17,0913; 16,9818; 26,6297; 24,0801; 21,0555; 19,0765; 17,9565; 18,6751; 25,3198; 29,5895; 30,7131; 26,6429; 23,1042; 22,1669; 22,6718; 25,0676; 25,0781; 19,9328; 16,7110; 16,6150; 20,6660; 24,9764; 26,8090; 28,3190</t>
  </si>
  <si>
    <t>235,1320; 264,2620; 281,9197; 302,9315; 314,9540; 338,2138; 351,1873; 355,4575; 341,5012; 320,7828; 294,9054; 270,7736; 267,3651; 270,7259; 283,4117; 285,3100; 283,2122; 281,1449; 288,8277; 120,5061; 303,2562; 312,5564; 317,9091; 314,4332; 301,0684; 285,3861; 259,5194; 249,2231; 234,8293; 220,0276; 214,3657; 205,8424; 198,5804; 189,1008; 179,1336; 173,3692; 169,3869; 169,4491; 167,2427; 156,5997; 157,8603</t>
  </si>
  <si>
    <t>295,5945; 273,7278; 20,4987; 36,0409; 30,9777; 16,9784; 25,6326; 25,6543; 70,3079; 26,1131; 122,1193; 91,9603; 75,1266; 141,8967; 39,3636; 34,6583; 136,6344; 192,1832; 188,9618; 362,7750; 445,9190; 215,2301; 613,7379; 767,1468; 100,1051; 97,0087; 474,0060; 197,7610; 76,6547; 65,6499; 90,6098; 53,2745; 47,4633; 54,8506; 59,2362; 43,3117; 40,0479; 120,6676; 121,7139; 20,5819; 22,6921</t>
  </si>
  <si>
    <t>351,1304; 531,7443; 2104,2444; 4768,0971; 4371,8549; 3842,1308; 3198,9143; 2855,8324; 3654,1248; 449,2847; 119,1335; 54,5975; 386,7972; 295,2050; 369,1198; 346,8308; 260,1093; 298,2485; 303,9121; 266,5601; 253,1961; 74,2598; 13,1562; 317,3094; 266,8122; 222,3996; 160,9845; 101,4366; 37,9511; 38,3561; 20,6020; 14,8562; 21,5404; 14,1652; 16,8969; 18,3129; 16,1623; 7,8139; 4,8519; 8,5918; 39,0543</t>
  </si>
  <si>
    <t>41,0441; 49,3919; 41,7390; 53,8365; 80,2233; 84,4385; 103,1575; 179,3808; 265,8226; 291,5693; 303,7681; 308,1735; 311,8434; 339,5991; 339,6350; 356,7946; 387,9807; 415,7215; 434,4088; 441,4040; 438,8383; 429,6603; 425,5742; 436,9144; 461,2112; 457,4642; 441,4323; 422,1525; 399,7929; 363,7024; 337,3584; 316,7464; 302,5101; 299,5731; 313,9615; 400,8227; 518,1987; 642,5057; 687,2115; 478,9542; 312,6950</t>
  </si>
  <si>
    <t>430,8886; 399,4659; 396,5253; 402,9341; 479,9211; 522,8228; 589,5716; 679,9380; 811,6531; 854,0462; 889,5317; 994,9538; 1081,3271; 1241,4072; 1334,9122; 1425,6378; 1416,3101; 1406,0814; 1383,0984; 1347,1508; 1288,2572; 1236,3259; 1215,1119; 1165,0389; 1125,2122; 1071,1970; 1010,0067; 959,4188; 875,5306; 695,7830; 633,3634; 604,5730; 588,2879; 565,7598; 536,4222; 500,2331; 447,8237; 399,3816; 385,1238; 357,3303; 324,2323</t>
  </si>
  <si>
    <t>457,9475; 437,4536; 504,2523; 483,2079; 393,4931; 377,4632; 379,4034; 390,9673; 390,1604; 402,2984; 404,5915; 355,9439; 297,7442; 256,4391; 273,6839; 282,5497; 282,8474; 302,3338; 419,6884; 523,3386; 524,7133; 417,1769; 366,3580; 397,5556; 497,3761; 544,1031; 575,6706; 595,2003; 617,0959; 577,7528; 566,9736; 562,9618; 556,0311; 570,6831; 577,7528; 557,3984; 519,8547; 464,8178; 358,9361; 321,9024; 413,5103</t>
  </si>
  <si>
    <t>6828,3226; 8026,4683; 5937,3707; 4237,4428; 4355,7121; 4526,6867; 4618,5782; 2583,4475; 2859,2046; 2508,3082; 2175,4354; 1814,3705; 1327,8127; 932,0935; 835,7644; 877,2549; 813,4076; 821,5292; 830,4784; 839,8001; 801,9027; 705,0002; 576,3532; 474,0061; 409,0629; 366,2585; 335,8657; 328,7826; 326,8707; 420,0792; 504,2720; 613,3284; 1000,4669; 1235,8024; 935,8544; 1147,8876; 1228,5068; 1145,8831; 686,0817; 1142,9370; 1236,7399</t>
  </si>
  <si>
    <t>6956,9715; 6357,1088; 5674,2195; 4418,4390; 2926,6482; 1580,2432; 1100,5499; 684,5523; 348,2817; 200,1565; 98,2780; 77,5030; 69,9874; 50,3898; 52,7162; 61,2101; 56,1946; 81,2603; 230,2560; 326,5885; 342,1069; 267,9941; 242,1449; 206,5713; 165,3582; 129,5754; 115,5441; 109,2579; 97,9734; 92,4454; 78,1743; 68,5417; 74,2435; 74,9925; 70,1066; 72,4022; 73,9961; 69,0858; 67,6472; 64,6699; 56,8807</t>
  </si>
  <si>
    <t>71,3234; 68,6458; 64,0127; 57,7645; 75,8980; 103,1946; 112,3061; 137,4499; 124,7421; 97,2231; 87,8821; 77,1715; 65,4037; 78,0884; 91,5276; 93,0863; 86,3783; 78,0772; 69,2143; 65,6198; 70,9427; 84,0090; 92,0988; 113,7721; 146,7852; 168,2073; 175,6624; 183,8780; 184,6014; 182,2504; 176,2370; 168,1733; 153,8355; 123,8580; 100,4958; 84,8228; 82,4313; 82,1479; 72,9118; 67,4816; 62,1234</t>
  </si>
  <si>
    <t>71,4703; 65,2691; 56,3733; 48,3645; 41,1377; 36,8287; 34,3459; 29,1938; 25,3634; 25,9329; 26,0172; 29,4837; 42,5544; 55,6341; 61,4481; 63,3369; 65,0478; 66,0443; 67,8961; 70,2919; 71,9688; 68,5531; 61,5691; 51,4463; 44,0189; 34,1550; 32,8266; 30,7314; 32,0266; 29,7917; 30,6215; 31,2169; 30,3712; 32,0995; 31,0283; 25,7557; 29,0613; 34,8762; 39,6140; 38,6865; 38,7283</t>
  </si>
  <si>
    <t>7412,4727; 7373,0530; 7333,6334; 7294,2137; 7254,7941; 7215,3744; 7175,9547; 7136,5351; 7097,1154; 7057,6958; 7018,2761; 6978,8564; 6939,4368; 6900,0171; 6860,5975; 6821,1778; 6781,7582; 6742,3385; 6702,9188; 6663,4992; 6624,0795; 6584,6599; 6545,2402; 6505,8206; 6466,4009; 6426,9812; 6387,5616; 6348,1419; 6308,7223; 6269,3026; 6229,8829; 6190,4633; 6151,0436; 6111,6240; 6072,2043; 6032,7847; 5993,3650; 5953,9453; 5914,5257; 5875,1060; 5835,6864</t>
  </si>
  <si>
    <t>878,0499; 957,0176; 884,7306; 811,5067; 929,4910; 873,4966; 746,1241; 649,5438; 582,3559; 578,8136; 640,5666; 688,9740; 689,2115; 627,1159; 573,9272; 559,0318; 538,3919; 519,2808; 455,1483; 373,0452; 291,1904; 255,0694; 284,8176; 335,2921; 324,1133; 303,3362; 284,3355; 262,1252; 236,9588; 240,6442; 249,7437; 230,5440; 253,8465; 237,0068; 213,2983; 200,0985; 176,2759; 158,7081; 170,7972; 179,6509; 173,3706</t>
  </si>
  <si>
    <t>9828,5158; 7773,2385; 5197,5359; 1678,2343; 2190,6461; 1683,4950; 1185,9608; 1008,9298; 859,5379; 736,5745; 695,1588; 666,7297; 646,0530; 629,1262; 625,2768; 598,2606; 616,4936; 613,7957; 620,5041; 623,7082; 656,5034; 670,5516; 707,6352; 721,2372; 760,2600; 782,6921; 837,2191; 866,5570; 924,1526; 964,0071; 1038,4007; 1086,1497; 1115,6949; 1158,1686; 1166,5845; 1190,6462; 1190,5515; 1186,6381; 1220,7667; 1236,6431; 1253,3246</t>
  </si>
  <si>
    <t>99,3497; 5,9290; 107,1931; 60,9439; 67,5330; 51,5462; 64,4323; 71,4979; 59,6028; 22,3737; 9,0753; 1,6162; 40,8875; 13,0342; 0,0380; 3,7260; 11,6260; 28,5564; 21,3656; 20,1360; 24,1272; 19,2047; 18,0215; 23,3633; 27,3971; 33,5729; 54,5196; 55,4710; 90,9482; 157,4618; 199,3357; 257,7577; 295,8085; 346,8544; 339,4890; 363,1617; 370,6927; 373,5430; 376,3531; 381,8173; 391,5134</t>
  </si>
  <si>
    <t>1056,0224; 971,2233; 925,2789; 873,7118; 839,6552; 800,2449; 773,4527; 745,2754; 713,7934; 686,9783; 664,1470; 663,3312; 598,5099; 566,8941; 547,9363; 537,9738; 526,2477; 507,3507; 482,0784; 461,3065; 453,2075; 439,9042; 408,0677; 377,2419; 339,5417; 310,3397; 298,3767; 288,5756; 283,2780; 281,6066; 301,1928; 230,1171; 300,1354; 337,0685; 348,7034; 352,3546; 337,3171; 339,4799; 361,2247; 369,4080; 365,3783</t>
  </si>
  <si>
    <t>127,6167; 133,7828; 191,6779; 173,9775; 155,2448; 156,0862; 127,0452; 163,6430; 181,7899; 185,7182; 174,1320; 165,4354; 161,8956; 189,7195; 726,1363; 588,3528; 211,6144; 184,6724; 213,0859; 813,1952; 1104,0516; 1310,1752; 1151,3124; 475,8057; 323,0722; 237,8163; 182,5271; 167,0732; 255,4179; 105,6175; 201,2458; 181,2640; 97,1121; 104,4826; 110,4740; 117,0941; 111,7102; 75,1815; 65,9254; 55,7496; 53,9832</t>
  </si>
  <si>
    <t>1523,8790; 1500,6146; 1404,5216; 1384,5302; 1395,8627; 1171,5256; 1056,6542; 1029,0569; 1029,1222; 1017,0610; 867,6245; 731,0895; 625,0031; 521,6624; 461,7137; 411,3592; 347,0062; 300,1627; 278,7132; 268,3905; 266,1630; 244,5527; 236,4009; 239,6107; 247,3784; 265,6686; 270,6981; 303,4642; 319,3565; 338,5658; 347,2763; 345,6067; 340,2135; 330,0040; 312,9761; 299,7086; 293,4569; 297,2367; 314,2882; 336,0934; 357,5499</t>
  </si>
  <si>
    <t>162,3450; 136,0658; 309,8180; 306,2060; 300,1787; 351,4199; 461,7825; 421,8834; 345,9101; 302,6570; 258,5994; 239,3392; 292,9352; 499,7371; 532,8646; 575,2597; 617,6292; 527,6641; 403,4905; 422,5879; 455,4835; 470,6222; 447,6918; 397,2915; 368,6933; 332,3495; 300,5263; 266,2734; 253,5547; 255,2655; 237,2144; 223,2354; 213,8123; 214,8127; 213,7478; 200,6074; 200,3674; 230,9157; 267,9461; 325,5914; 386,4805</t>
  </si>
  <si>
    <t>19,9302; 19,1739; 17,8889; 16,5972; 15,3026; 13,8235; 12,5015; 11,7918; 11,6184; 12,1432; 12,2536; 10,8838; 8,7680; 6,3080; 5,5724; 4,9049; 4,8538; 7,5121; 11,2560; 17,0012; 16,2721; 10,6967; 17,9552; 17,4275; 16,4045; 15,6981; 14,4668; 13,4460; 12,9254; 12,7858; 12,5598; 12,2412; 11,4075; 10,8866; 10,8140; 11,0624; 11,2917; 11,4424; 12,0904; 12,8960; 13,7159</t>
  </si>
  <si>
    <t>218,8967; 196,0912; 173,5912; 156,6732; 146,0777; 140,9613; 138,5309; 139,6369; 158,1729; 178,4874; 161,0527; 146,9441; 127,8180; 117,3420; 123,5037; 129,9158; 131,4302; 134,5883; 151,7961; 168,9291; 106,7424; 155,5276; 159,7203; 157,2025; 154,7510; 154,6316; 152,6492; 148,1374; 141,9189; 136,2134; 123,1917; 116,0956; 108,8218; 99,3218; 95,4589; 90,6809; 89,3196; 91,2599; 98,0090; 108,7685; 114,5477</t>
  </si>
  <si>
    <t>276,0885; 52,3579; 133,2127; 141,0180; 139,6796; 114,1909; 98,3130; 96,5895; 96,2388; 97,3511; 91,3968; 85,4585; 84,7391; 83,0354; 71,6593; 0,7399; 62,7992; 76,6919; 74,3274; 88,2698; 119,1988; 123,8620; 144,4154; 196,3198; 224,8309; 231,0175; 265,2095; 293,1741; 313,7246; 355,8200; 411,7450; 457,4745; 519,6126; 536,8284; 534,3908; 605,9992; 678,8036; 665,8713; 137,1112; 602,7541; 604,2389</t>
  </si>
  <si>
    <t>293,3755; 274,5728; 258,6651; 236,1625; 227,0192; 218,5023; 207,1980; 198,5559; 220,1966; 233,8523; 235,3746; 229,5613; 229,3867; 220,7491; 213,7317; 207,8656; 203,5500; 190,6976; 186,5660; 189,9457; 189,0874; 204,1058; 206,6820; 212,7553; 221,2446; 237,5040; 252,1741; 248,8296; 257,7527; 284,8649; 296,5542; 288,3682; 281,5906; 269,2703; 257,8365; 248,3519; 249,6571; 251,6910; 256,1334; 257,1948; 99,8005</t>
  </si>
  <si>
    <t>3061,1941; 2611,5323; 2065,4290; 1766,8487; 1087,2054; 791,2377; 665,3115; 676,4879; 601,6392; 519,3574; 440,0327; 361,4314; 306,5113; 224,7256; 195,8189; 142,7292; 519,8656; 1101,5479; 1031,3234; 942,5725; 898,1668; 868,1520; 830,0244; 811,1430; 804,1673; 807,8655; 751,3772; 726,3446; 734,4375; 730,0966; 744,8480; 776,3513; 776,6819; 740,3782; 732,5627; 697,3572; 649,1322; 619,4812; 576,5798; 549,4224; 525,7388</t>
  </si>
  <si>
    <t>42,5477; 163,2491; 319,1077; 381,0715; 276,7199; 270,9003; 310,7101; 322,7438; 302,3125; 300,5283; 361,6553; 400,3268; 466,1924; 550,8968; 653,1443; 715,1694; 812,1957; 943,0186; 1230,0440; 1540,2841; 688,2275; 398,5420; 305,1117; 387,4242; 414,2801; 441,4501; 469,6419; 509,2065; 592,2497; 706,3788; 722,7508; 790,9856; 471,8635; 405,6088; 288,5710; 316,3753; 348,0732; 364,9531; 380,6898; 395,3021; 392,7823</t>
  </si>
  <si>
    <t>4712,7162; 20502,0137; 19026,0942; 1548,2880; 1748,9339; 383,5690; 213,8581; 1015,6705; 1450,6522; 1232,4579; 1098,0289; 997,2007; 876,7063; 800,9416; 724,1504; 671,8056; 647,6704; 631,0258; 617,2774; 606,0113; 578,4653; 552,2437; 539,1240; 503,3167; 468,4552; 436,1760; 393,4062; 356,9836; 319,7048; 288,0096; 257,4555; 234,5891; 212,2774; 202,1815; 189,9717; 170,7355; 154,3385; 138,2082; 112,8074; 100,2247; 90,4805</t>
  </si>
  <si>
    <t>473,0960; 525,4799; 523,9462; 504,3384; 534,0854; 555,4167; 533,6936; 505,3835; 502,4146; 490,2098; 486,7028; 484,8446; 470,4100; 458,4954; 456,8745; 453,9486; 451,1398; 460,7357; 450,1528; 443,3494; 450,4830; 458,9857; 469,1842; 479,0249; 472,3102; 209,2466; 300,1478; 407,9659; 477,9572; 432,3371; 421,7330; 413,8667; 408,2746; 399,1728; 390,6681; 388,5762; 404,4590; 418,0019; 416,2395; 384,4630; 355,0583</t>
  </si>
  <si>
    <t>481,9470; 485,1960; 492,1051; 492,4388; 474,2670; 441,4811; 387,4196; 335,1550; 308,0133; 290,2659; 288,1376; 287,9993; 298,3052; 305,9162; 306,5028; 300,6389; 300,0244; 299,2412; 287,0220; 262,1195; 228,4296; 197,9911; 185,9676; 180,0565; 160,7298; 148,8877; 150,8568; 191,3324; 198,2696; 146,6000; 136,5044; 145,3437; 149,2047; 155,5349; 157,6853; 161,1879; 144,2035; 115,0359; 116,2375; 131,3115; 141,8297</t>
  </si>
  <si>
    <t>554,5506; 551,4858; 544,4572; 529,8651; 547,1297; 541,3770; 543,9493; 558,4840; 597,1436; 642,1964; 659,8786; 663,5152; 656,1768; 670,3432; 700,6037; 728,6237; 769,0451; 778,0692; 801,1904; 830,5553; 901,5391; 930,3525; 950,6049; 989,9833; 1059,6240; 1107,4146; 902,2782; 919,2718; 963,3762; 955,7210; 974,6949; 974,8868; 944,5126; 916,9010; 930,8986; 130,7971; 590,4114; 797,2707; 921,9775; 839,7271; 791,0805</t>
  </si>
  <si>
    <t>5985,5079; 5164,9409; 4798,0355; 4899,0914; 4184,2292; 3816,7170; 2869,2497; 2246,0700; 2105,6906; 1445,5676; 1076,5063; 1019,8480; 821,6182; 617,5280; 363,8947; 345,0549; 206,0204; 184,5226; 200,2497; 272,7862; 179,9479; 233,5104; 202,8106; 198,5800; 222,7455; 201,6095; 241,0597; 243,7055; 251,4295; 249,7785; 252,5753; 243,0558; 216,7693; 198,7561; 183,8401; 175,1382; 187,9020; 221,1982; 221,5498; 201,1605; 168,2780</t>
  </si>
  <si>
    <t>61,4653; 48,7810; 47,3160; 49,3234; 49,2179; 40,6228; 34,1786; 32,3430; 34,6535; 44,7121; 45,8414; 37,2885; 33,1461; 32,1895; 31,4152; 28,2615; 28,9750; 33,3002; 37,8523; 47,1523; 53,7624; 53,4679; 48,8925; 45,2473; 41,8953; 38,2271; 37,9028; 37,4852; 36,8278; 35,6481; 35,3387; 35,7953; 34,7270; 34,1693; 35,5582; 37,5366; 37,1514; 35,9135; 35,4536; 34,0648; 32,1140</t>
  </si>
  <si>
    <t>66,9075; 63,1099; 61,1100; 64,1619; 72,2458; 83,0126; 87,5982; 86,4968; 82,1530; 79,3487; 77,8625; 83,0468; 92,5005; 78,5675; 68,6902; 65,1150; 82,8560; 70,0388; 56,5990; 59,7774; 57,8094; 62,0347; 76,0898; 135,3020; 180,5775; 144,0145; 150,0366; 144,3261; 143,6918; 142,7734; 129,9748; 118,9181; 103,5129; 95,0896; 85,7287; 83,6102; 84,1996; 87,9575; 96,1148; 106,7813; 110,9796</t>
  </si>
  <si>
    <t>758,5805; 855,9657; 940,5278; 2134,1972; 2743,2062; 1914,4233; 1185,2570; 836,1734; 783,7732; 744,3582; 681,7583; 670,4407; 660,6088; 677,1988; 733,8967; 702,0412; 684,8685; 672,1782; 660,6088; 637,0062; 614,2223; 573,7647; 536,6980; 519,4068; 503,1544; 490,6232; 478,8261; 464,5207; 451,6026; 426,6998; 413,1015; 402,5197; 367,2537; 354,7719; 342,8341; 343,1624; 343,5369; 335,9094; 328,6006; 317,8032; 311,1766</t>
  </si>
  <si>
    <t>8363,9796; 7411,7526; 6076,1083; 4525,9060; 3160,2855; 2670,2945; 1872,0982; 1574,5444; 1686,9785; 1442,5371; 1508,3635; 1271,5410; 1056,6942; 1097,0283; 985,3149; 1075,7897; 914,7753; 869,0134; 888,6156; 854,2948; 999,3108; 2951,7480; 2527,0226; 2675,0389; 2765,5997; 2454,4465; 2321,4615; 2261,3549; 2192,4655; 401,7533; 196,2726; 182,0534; 157,3767; 162,7888; 159,1119; 152,4743; 129,8824; 776,4195; 1191,6552; 1009,0842; 695,7259</t>
  </si>
  <si>
    <t>91,3691; 76,5612; 80,4767; 87,3347; 107,4200; 107,4376; 98,4976; 105,4179; 124,3676; 144,8612; 132,2535; 59,5145; 67,8621; 119,4912; 148,9329; 163,6950; 177,6815; 193,9623; 211,5566; 288,1660; 266,5749; 228,4139; 206,5802; 189,6686; 183,8060; 183,1375; 191,3615; 162,7409; 157,0309; 165,0908; 143,8927; 139,1251; 146,0823; 164,4022; 180,9256; 192,9737; 205,3845; 215,4449; 254,7809; 289,4600; 335,3362</t>
  </si>
  <si>
    <t>107,2650; 128,4961; 148,8151; 149,6471; 115,0467; 119,8501; 139,7872; 143,1526; 143,4785; 134,8244; 165,1895; 158,1994; 134,7110; 148,6115; 163,9996; 190,0250; 186,1772; 187,6819; 201,1881; 225,6578; 237,4833; 238,1906; 267,1227; 262,7853; 281,8530; 276,7341; 256,7466; 240,4206; 242,1299; 267,8539; 265,7663; 229,9507; 218,3368; 233,4841; 246,5775; 246,4509; 224,8149; 215,6457; 206,8312; 212,9282; 225,9133</t>
  </si>
  <si>
    <t>10900,0457; 8622,0434; 6266,4533; 4431,2275; 3512,9834; 3068,1003; 2770,0784; 2518,1231; 2315,8632; 2084,2037; 1837,8682; 1666,3940; 1528,3577; 1357,0492; 1263,9898; 1182,8811; 1101,7612; 1050,4275; 1008,7263; 968,8533; 930,2641; 914,6099; 877,6537; 838,9767; 822,9618; 813,1338; 791,9841; 779,8070; 765,5785; 737,9892; 713,2995; 711,1793; 683,0023; 656,4159; 629,9651; 594,9088; 573,8339; 563,6534; 573,7006; 579,8993; 572,0526</t>
  </si>
  <si>
    <t>1275,3109; 923,3595; 871,6678; 774,3679; 659,1159; 643,6537; 625,3390; 558,8427; 527,8153; 512,4044; 506,2802; 537,2722; 559,9979; 553,8664; 527,7873; 490,2864; 463,0482; 474,8605; 460,8586; 446,6974; 427,7162; 397,0468; 367,9069; 354,3551; 334,3525; 354,5641; 359,6559; 349,1072; 376,9576; 367,4704; 349,1290; 320,1595; 307,5157; 306,5993; 307,2889; 316,1118; 329,5383; 375,4647; 366,0781; 324,8699; 355,8437</t>
  </si>
  <si>
    <t>152,0325; 163,6156; 158,5741; 177,4115; 161,0094; 175,5037; 353,9037; 401,6468; 502,4442; 380,9341; 237,5713; 243,3429; 279,1082; 328,0461; 334,5965; 341,7765; 136,8894; 300,2864; 382,8942; 389,3027; 395,1099; 414,9486; 430,0544; 440,6331; 463,0340; 474,6480; 488,8008; 506,0935; 509,6947; 516,2751; 531,5220; 529,9703; 454,8181; 587,9291; 651,0916; 642,4176; 546,3200; 499,7262; 467,4114; 447,0537; 416,1028</t>
  </si>
  <si>
    <t>1559,1488; 1488,4438; 1415,5904; 1317,3972; 1209,2501; 1126,1918; 1070,0208; 1007,3110; 952,6576; 906,9685; 894,3972; 908,0200; 919,8569; 939,2497; 944,6748; 883,3646; 778,9746; 712,3171; 682,6163; 631,6049; 580,7386; 512,1726; 452,9270; 446,2849; 409,0316; 363,8332; 342,3494; 352,7791; 343,1478; 347,7360; 363,4148; 367,2842; 365,7608; 348,1834; 324,7060; 327,3880; 334,4295; 211,4213; 213,3126; 210,0483; 199,5822</t>
  </si>
  <si>
    <t>202,2003; 219,2645; 183,6269; 146,5868; 147,8562; 158,9366; 153,7315; 140,5876; 135,4808; 146,3911; 158,4850; 171,0865; 182,6045; 158,1364; 140,7059; 128,9684; 122,5373; 101,6051; 93,1484; 94,6021; 92,8502; 96,8622; 110,2481; 122,3393; 119,3806; 125,1380; 137,1603; 137,7018; 127,2819; 124,1241; 110,8479; 106,1453; 115,9034; 138,7061; 138,1153; 126,6370; 113,0873; 123,4167; 129,0738; 108,4399; 90,9661</t>
  </si>
  <si>
    <t>227,9660; 235,7099; 257,5955; 242,6643; 240,8621; 277,8076; 301,8149; 325,2507; 344,7423; 357,2053; 356,0570; 352,4522; 352,1114; 367,4620; 383,8962; 429,0598; 468,3167; 544,5437; 577,6128; 585,9333; 587,2029; 581,8363; 578,1404; 560,8520; 537,9421; 503,6099; 490,4581; 474,5462; 458,2950; 446,9974; 418,3483; 388,0687; 358,7659; 329,5757; 309,4155; 263,8646; 232,7230; 200,5724; 191,4975; 189,1117; 187,1458</t>
  </si>
  <si>
    <t>248,5681; 468,2719; 781,9071; 2551,6896; 4000,4423; 4053,0120; 3808,2979; 3578,8248; 3376,4451; 3181,4605; 2990,6546; 2808,5849; 2632,2564; 2445,0831; 2258,0132; 2081,9065; 1925,8427; 1794,9959; 1657,9202; 1534,8838; 1420,4956; 1330,3283; 1245,6395; 1173,7062; 1125,6037; 1087,4246; 1048,7632; 1028,2999; 1005,9405; 969,8077; 924,2925; 900,6912; 888,8095; 907,1982; 857,5700; 996,8730; 1025,2337; 798,1611; 712,3938; 725,7095; 770,7849</t>
  </si>
  <si>
    <t>25327,0707; 19524,8883; 15208,9321; 12541,5602; 10760,0862; 9585,2894; 8592,3935; 7541,7435; 6428,8063; 5353,7424; 4547,4840; 3979,0306; 3525,5798; 3134,0233; 2801,6781; 2594,6109; 2393,8673; 2150,2776; 1848,4833; 1635,9005; 1537,6884; 1441,8408; 1344,4725; 1201,9252; 1121,2755; 1077,2621; 1049,5096; 1012,1034; 952,4244; 913,7591; 868,0782; 828,6165; 783,1511; 732,9553; 734,2717; 758,7789; 764,1789; 741,7480; 698,9977; 682,2335; 668,7519</t>
  </si>
  <si>
    <t>330,6776; 283,7406; 258,2557; 245,3682; 244,8993; 247,8563; 285,2841; 297,8091; 312,1382; 321,9841; 325,6018; 297,0115; 270,0395; 271,4365; 276,6892; 283,4427; 273,1587; 262,4454; 256,6961; 244,7915; 235,3355; 225,8556; 221,1360; 217,0002; 213,3277; 209,8194; 204,6304; 200,1069; 197,3666; 196,3662; 195,3835; 194,5080; 196,9528; 202,0854; 205,5147; 209,2433; 216,4707; 221,3775; 221,8358; 217,9488; 211,3604</t>
  </si>
  <si>
    <t>427,7741; 437,3052; 424,3572; 407,6185; 398,4927; 381,0600; 379,6986; 370,4398; 374,5316; 362,0405; 353,3200; 342,8853; 329,2547; 325,4178; 324,1893; 319,3555; 296,6293; 260,6572; 239,5772; 228,8452; 219,1272; 185,1307; 133,9068; 109,0355; 109,1044; 119,7815; 119,9315; 120,5962; 123,5531; 129,8979; 132,4285; 116,3397; 95,3540; 93,2713; 68,9123; 67,1954; 66,2966; 68,9662; 86,6949; 144,1854; 152,8501</t>
  </si>
  <si>
    <t>429,9556; 381,1377; 366,5073; 336,8625; 424,6371; 507,8353; 563,6449; 597,0927; 731,7083; 753,2836; 747,1438; 741,6734; 710,2945; 671,6739; 618,0611; 579,9922; 557,5986; 513,3448; 403,9995; 336,5843; 295,8744; 282,9645; 246,5010; 229,4921; 213,6982; 201,6961; 181,6861; 168,8905; 162,7729; 155,4653; 141,4744; 135,1289; 132,8682; 168,9198; 215,6260; 161,5779; 163,5287; 140,6968; 134,2012; 123,6331; 135,3790</t>
  </si>
  <si>
    <t>48,1461; 32,0974; 30,7911; 46,1307; 244,4626; 558,8783; 378,1706; 363,0238; 598,1309; 819,8064; 1271,0189; 1202,1875; 1790,0420; 1950,1770; 2046,6277; 2109,6013; 2367,1194; 2539,5430; 2464,9667; 2583,0392; 2742,9008; 2705,4293; 2627,4130; 51,1468; 33,6764; 27,4528; 17,8348; 23,7062; 26,4990; 16,1089; 9,7272; 9,4324; 54,9958; 21,1779; 24,3219; 14,2229; 27,2847; 65,8599; 20,5461; 43,6401; 59,2362</t>
  </si>
  <si>
    <t>50,3854; 44,7870; 119,0928; 134,3611; 59,7161; 43,8913; 40,4806; 43,9576; 68,7801; 108,1066; 194,8236; 256,4419; 270,1218; 308,7591; 352,3686; 383,8889; 384,4221; 384,3212; 379,5112; 389,8769; 438,3531; 466,9868; 519,8496; 548,9016; 597,4998; 624,5304; 720,0003; 800,4492; 948,9254; 1066,2057; 1103,1048; 1183,3438; 1235,9500; 1253,1921; 1231,6436; 1199,4783; 1166,8623; 1174,2847; 1134,3476; 1120,4351; 1078,6212</t>
  </si>
  <si>
    <t>5386,7636; 5230,2454; 4655,9714; 4009,5905; 3549,6568; 3233,0214; 2396,6068; 1986,2481; 1660,9815; 1332,3840; 1131,0446; 1067,2860; 1056,4304; 993,7412; 900,3690; 828,6274; 753,2537; 665,9253; 589,8461; 522,7486; 468,3179; 427,5648; 387,8458; 319,0082; 271,3859; 229,4695; 207,0239; 177,5151; 140,3013; 110,9949; 81,8937; 81,2565; 75,5393; 71,7627; 71,2613; 65,0901; 71,7173; 78,4544; 87,0997; 198,2048; 271,8860</t>
  </si>
  <si>
    <t>56,0958; 75,9899; 83,2598; 57,6406; 58,8010; 51,1647; 43,4719; 40,1320; 42,7926; 47,4951; 43,3401; 38,2228; 32,6742; 34,0954; 37,3671; 35,5974; 31,5485; 28,5395; 27,6836; 32,3014; 34,1661; 33,6062; 34,4734; 37,6775; 47,6795; 76,3851; 75,4017; 62,7019; 56,9824; 54,7965; 46,9667; 49,7700; 47,0853; 54,9739; 46,4738; 41,8398; 36,5474; 33,7472; 35,8013; 37,6887; 52,1489</t>
  </si>
  <si>
    <t>718,6080; 599,5356; 652,2113; 840,7905; 967,2401; 1195,0675; 1298,9641; 966,0828; 967,1512; 785,3054; 893,8373; 1013,1468; 980,5308; 794,3858; 684,3086; 712,1139; 795,5729; 826,3209; 912,0561; 940,0645; 958,8159; 922,3241; 895,8108; 875,3830; 848,9120; 839,4371; 831,1728; 815,3662; 794,5574; 758,3939; 717,8803; 693,7622; 691,9064; 705,6042; 716,4399; 692,8555; 644,0571; 579,5157; 500,7284; 460,3468; 460,9930</t>
  </si>
  <si>
    <t>8358,9411; 7130,5445; 6240,7007; 5569,9082; 5257,1587; 4914,3823; 4505,8001; 4047,3233; 3585,0159; 3087,0328; 2396,2666; 1945,3997; 1597,0778; 1352,9638; 1147,1702; 910,0019; 729,0210; 569,5419; 467,3120; 389,5499; 339,7284; 301,0585; 258,4729; 232,3120; 232,0129; 221,6958; 216,5453; 211,0047; 203,7110; 205,6811; 193,7039; 183,0510; 170,5018; 168,3145; 174,4927; 168,8701; 173,6058; 172,6486; 174,9360; 164,0976; 148,6624</t>
  </si>
  <si>
    <t>86,5993; 84,8114; 79,9101; 80,2056; 83,9865; 88,0097; 84,7861; 87,7062; 89,4051; 93,0540; 87,6487; 86,9806; 94,7474; 92,7628; 87,4580; 91,2715; 80,6777; 77,4046; 90,7946; 93,0285; 26,7523; 72,7939; 83,9856; 88,1831; 69,4985; 67,4837; 69,5075; 73,9277; 83,7440; 92,5150; 112,9342; 120,2008; 132,5013; 111,2684; 104,9202; 106,0085; 95,0698; 96,8775; 105,1570; 124,7678; 121,9621</t>
  </si>
  <si>
    <t>993,3765; 1080,9963; 1003,4163; 818,2248; 2735,8483; 4513,1900; 3450,2815; 4151,7585; 3878,0600; 866,0399; 792,7306; 770,4437; 678,4219; 522,5479; 471,3836; 471,6075; 894,4489; 1617,3098; 2295,0958; 2277,3437; 2304,1439; 515,5566; 489,9282; 494,8968; 393,9942; 373,3959; 316,3707; 745,7042; 1442,2605; 1694,0411; 1684,2166; 1676,2369; 1557,4693; 537,2882; 116,3445; 17,3674; 34,9534; 218,3606; 383,5823; 774,4959; 1219,9990</t>
  </si>
  <si>
    <t>1049,5096; 1012,1034; 952,4244; 913,7591; 868,0782; 828,6165; 783,1511; 732,9553; 734,2717; 758,7789; 764,1789; 741,7480; 698,9977; 682,2335; 668,7519; 653,6670; 618,7427; 592,7203; 603,6920; 615,5737; 616,7175; 617,8210; 614,9605; 624,6805; 638,6300; 621,3518; 573,8339; 552,1942; 540,9193; 540,2980; 508,3329; 451,0047; 443,1750; 425,6719; 412,5306; 388,1128; 370,5110; 361,9731; 355,9911; 188,8588; 269,0421</t>
  </si>
  <si>
    <t>1260,4193; 1340,8256; 1338,3327; 1347,3608; 1360,6099; 1503,7995; 1630,6377; 1493,5048; 1392,6437; 1173,9688; 1135,5306; 1135,4832; 1147,3234; 1198,5603; 1292,2720; 1372,7228; 1332,5744; 1320,9427; 1400,2900; 1296,6607; 1219,7004; 1237,7008; 1211,4894; 1165,7071; 1133,8119; 1160,7423; 1208,3000; 1224,0899; 1228,4492; 914,3047; 1087,0134; 1199,7565; 1239,9478; 1220,8456; 1202,9557; 28,3950; 33,7965; 36,0332; 36,5474; 35,7729; 34,6820</t>
  </si>
  <si>
    <t>1400,7147; 1252,9874; 759,7002; 911,9617; 436,2737; 318,6777; 498,5357; 2598,3534; 2943,5546; 2827,9432; 2618,5489; 2305,3344; 2005,0198; 1853,3635; 1685,4590; 1518,4106; 1388,6112; 1304,5290; 1262,8825; 1258,3141; 1341,4736; 1490,9158; 1526,8648; 1450,7164; 1263,2074; 1290,7611; 1355,5170; 1193,8435; 949,2613; 1115,5634; 1246,2693; 1341,3615; 1475,9305; 1684,8394; 1928,3931; 1893,7583; 131,4118; 120,5368; 102,6743; 110,2741; 147,3174</t>
  </si>
  <si>
    <t>1589,9399; 1367,5302; 1235,3758; 1119,7820; 1090,8843; 1068,0323; 1023,1039; 961,1327; 909,4257; 908,7689; 900,1075; 924,7788; 879,4546; 749,5326; 780,0409; 824,3493; 924,1633; 997,5340; 902,9387; 732,0073; 609,8502; 530,5551; 521,3491; 502,1762; 458,4085; 421,9808; 394,3748; 365,2851; 348,8675; 355,4259; 349,3389; 346,0381; 322,5733; 351,7494; 393,9224; 427,4228; 431,3187; 406,4361; 408,2152; 424,5345; 460,4108</t>
  </si>
  <si>
    <t>168,7512; 161,9798; 328,2050; 415,5974; 428,5871; 428,4234; 404,7629; 419,6119; 478,9160; 622,6372; 864,4832; 1081,6070; 951,2939; 790,8230; 847,3548; 819,6800; 830,4264; 950,2798; 1003,1597; 1126,1226; 1372,2617; 1565,3070; 1753,8480; 920,8578; 98,7083; 540,6025; 634,0165; 625,6531; 214,6046; 96,0838; 227,7523; 493,9015; 571,7650; 567,6995; 530,6798; 465,9223; 290,8918; 218,0075; 179,7941; 102,4609; 118,8101</t>
  </si>
  <si>
    <t>182,0421; 178,2593; 159,9440; 150,1544; 138,1714; 135,3066; 136,3041; 138,2514; 149,9068; 149,3116; 169,0391; 175,4635; 174,5433; 187,1033; 189,0697; 194,5611; 203,8117; 188,8672; 69,5712; 148,7591; 144,3337; 145,4541; 139,4881; 129,0628; 125,3165; 114,1058; 92,7034; 74,4264; 58,7901; 64,6173; 76,9497; 163,4031; 139,0333; 112,6270; 117,6752; 119,1335; 131,0965; 121,7296; 126,0702; 130,6244; 157,6504</t>
  </si>
  <si>
    <t>1873,4419; 2044,9355; 2089,3154; 2054,1748; 2245,1103; 2152,1665; 1970,0699; 1793,5892; 1631,7411; 1580,0396; 1378,8810; 1309,0612; 1373,7406; 1502,7999; 1509,3232; 1537,6286; 1864,2605; 2144,4698; 2362,9162; 585,0114; 554,9861; 550,1582; 574,2538; 507,9936; 398,8681; 390,6070; 394,7480; 410,6487; 418,1695; 402,7963; 384,3848; 366,8168; 321,2937; 295,5945; 265,9230; 228,7125; 212,5437; 202,7805; 200,4220; 224,2094; 234,5049</t>
  </si>
  <si>
    <t>1946,6367; 1442,4412; 920,6536; 670,4883; 528,7359; 403,3191; 364,3426; 363,6281; 409,3943; 608,9090; 817,5501; 860,0903; 997,5452; 1168,6100; 1223,8059; 1245,4658; 1342,8647; 1302,1471; 1136,3312; 1098,6396; 1058,4231; 1141,8136; 1114,5752; 1080,0939; 1041,0629; 992,3200; 935,2653; 884,9264; 816,5104; 751,2765; 692,6723; 640,8528; 591,2863; 554,6922; 521,3025; 484,3398; 458,5297; 432,6779; 410,4043; 401,6468; 395,2042</t>
  </si>
  <si>
    <t>2262,8652; 1732,5120; 1416,9500; 1272,3998; 1340,2522; 1359,9265; 1041,5786; 1530,4727; 2360,5009; 2732,2130; 3071,8311; 3686,4901; 3760,6717; 3707,0232; 3374,5635; 3049,6022; 3105,3591; 3659,6904; 600,2583; 602,5990; 224,0370; 223,0589; 59,8094; 304,6414; 341,1567; 364,1850; 351,1784; 289,6486; 258,3466; 248,5681; 320,5772; 345,4709; 44,1943; 69,8038; 273,1387; 280,2821; 316,5147; 70,1089; 171,9262; 244,7448; 236,7848</t>
  </si>
  <si>
    <t>228,6378; 262,6440; 139,7559; 221,0143; 310,3369; 437,7485; 39,0164; 226,0916; 307,2711; 308,7989; 266,1843; 246,4010; 230,2334; 183,4233; 161,3651; 155,9869; 140,5193; 125,0406; 127,4663; 122,7624; 108,1607; 126,6599; 121,0316; 115,7693; 130,2387; 153,0224; 220,3328; 245,4234; 289,5295; 405,9625; 528,9349; 513,8654; 555,6177; 470,6019; 523,5937; 492,0874; 446,3908; 524,8334; 498,1400; 511,1416; 498,5917</t>
  </si>
  <si>
    <t>24,0730; 19,2584; 16,0487; 13,7560; 8,9574; 13,4361; 7,1659; 8,7538; 8,0243; 14,9864; 429,1558; 681,3602; 1034,4406; 1257,5937; 1579,1164; 2244,0664; 2606,0459; 3101,2892; 2998,3905; 2954,7762; 305,7648; 254,1217; 309,7196; 314,6704; 297,2740; 260,6915; 397,3357; 258,1756; 174,6695; 190,2771; 229,5994; 246,2647; 236,0028; 225,6298; 243,6769; 233,6391; 189,0013; 287,7294; 199,9421; 162,6394; 149,4258</t>
  </si>
  <si>
    <t>29,6958; 31,8274; 28,9716; 31,0767; 34,6204; 36,0053; 38,3274; 63,8004; 99,9829; 115,7949; 168,4712; 190,8164; 242,6222; 282,9175; 290,4440; 302,8632; 346,1244; 380,1567; 390,5920; 397,0888; 433,9253; 400,0753; 372,6216; 311,7892; 290,1240; 291,9358; 291,5201; 292,8950; 268,0565; 231,9969; 221,3717; 221,2014; 210,2981; 171,4947; 144,1303; 147,2167; 136,1362; 131,6631; 136,3339; 148,6139; 127,9816</t>
  </si>
  <si>
    <t>3,7323; 3,4452; 3,1991; 26,8722; 104,9696; 106,6985; 43,5430; 8,2502; 4,4787; 6,3981; 3,0537; 6,8154; 6,5314; 72,5550; 80,9612; 111,9676; 95,1725; 98,0682; 123,9108; 208,7654; 313,5093; 700,9850; 802,8735; 888,0630; 1009,5745; 1005,8927; 945,2423; 1113,9341; 1184,6172; 1260,0451; 1260,4353; 1273,3059; 1252,5103; 1234,6294; 1220,4468; 1244,5079; 1245,1730; 1268,6614; 1389,2940; 1366,0047; 1006,4165</t>
  </si>
  <si>
    <t>3677,7640; 3916,7546; 4563,8204; 3704,5050; 2370,9832; 2295,2889; 2217,1350; 2128,5968; 2229,2925; 2186,4061; 2300,9809; 2804,8126; 2633,3826; 2020,6603; 1651,2674; 1388,3162; 1420,2931; 1529,8520; 1254,0701; 913,7510; 766,0450; 358,7009; 448,0918; 477,7014; 475,0505; 451,7313; 440,3891; 445,7622; 439,3419; 411,5890; 391,8866; 384,8424; 359,9753; 337,5790; 332,7936; 329,4480; 329,7707; 315,6530; 300,0337; 288,2406; 268,8638</t>
  </si>
  <si>
    <t>43,5235; 40,9482; 42,9721; 48,7568; 48,4868; 58,3725; 64,4990; 60,9033; 65,7775; 81,0049; 68,7833; 62,2587; 59,4830; 56,4378; 57,6937; 57,8292; 58,1398; 57,3370; 55,7217; 54,1475; 53,8262; 54,0677; 45,8210; 43,3045; 41,1859; 42,0411; 42,5658; 40,5959; 45,4607; 46,5998; 48,3193; 49,6496; 53,9871; 58,7012; 61,5385; 57,4182; 55,0102; 49,0961; 45,3704; 40,8647; 37,4593</t>
  </si>
  <si>
    <t>500,4952; 409,1723; 289,6373; 198,7139; 197,0097; 246,4870; 334,0110; 438,2057; 501,8184; 507,4815; 524,8437; 535,9611; 537,2011; 535,1574; 540,6364; 561,3974; 587,3634; 591,0132; 556,4197; 539,0583; 545,5061; 540,2242; 499,3875; 512,4542; 332,6730; 361,6179; 376,8319; 85,7837; 175,8306; 296,9873; 338,4679; 333,2290; 248,5281; 422,9717; 487,5754; 435,2916; 98,8404; 231,5820; 407,0611; 438,5533; 414,2801</t>
  </si>
  <si>
    <t>575,0266; 430,7179; 411,9941; 391,5210; 400,4409; 375,6842; 371,3018; 366,6199; 357,0937; 325,9682; 335,9828; 323,6060; 313,3548; 298,8586; 277,8663; 245,4477; 233,9400; 218,8878; 210,0792; 187,8989; 172,7355; 170,1573; 157,5121; 112,0325; 114,3029; 103,3256; 91,6268; 85,9850; 91,1477; 89,2755; 85,5079; 78,3192; 73,2096; 83,1962; 87,6986; 88,4406; 93,0697; 100,2582; 107,8621; 110,9401; 132,8509</t>
  </si>
  <si>
    <t>5883,8973; 5922,1902; 4717,5681; 3392,6182; 2330,6056; 2069,1612; 2009,3705; 1694,9859; 1502,4186; 891,9511; 824,8813; 738,2397; 797,3493; 851,0855; 1183,6219; 1326,1678; 1574,3764; 1630,4615; 1635,1341; 1606,3943; 1459,3110; 1212,0269; 1093,2344; 1114,2850; 1114,3975; 1102,9195; 1090,7137; 1092,2981; 1111,5583; 1098,0289; 1067,8416; 1044,7537; 1042,1073; 1037,0621; 1056,6205; 1056,2851; 1177,6752; 1214,3296; 1057,1341; 1007,1876; 1010,1513</t>
  </si>
  <si>
    <t>7268,9365; 5517,0168; 6,7181; 84,4846; 917,0146; 952,5859; 773,6961; 628,5115; 655,4303; 441,5475; 481,3363; 572,6848; 611,7910; 349,2323; 586,4048; 293,1604; 499,5621; 564,3167; 404,2892; 48,1046; 64,8612; 60,9258; 56,4317; 64,1466; 7,4878; -0,9500; -0,1976; -0,1919; 1,8661; 243,4236; 178,0874; 284,0532; 477,0939; 610,2507; 661,4086; 525,1541; 770,7442; 900,3190; 823,9842; 914,4179; 1207,8971</t>
  </si>
  <si>
    <t>942,9911; 1313,2781; 1603,1894; 715,0423; 219,2965; 413,6830; 243,6695; 141,0792; 148,1705; 147,4436; 166,9437; 183,5202; 190,4467; 185,0873; 188,5721; 215,0674; 174,9278; 136,9322; 125,6436; 122,0833; 119,5067; 107,7056; 104,3398; 112,7140; 127,8407; 140,8232; 87,7702; 101,7392; 130,2949; 140,7347; 143,3745; 148,0703; 156,2748; 159,4106; 172,0738; 157,3020; 146,0934; 134,8852; 126,9433; 123,4386; 120,0741</t>
  </si>
  <si>
    <t>1098,3126; 1273,1375; 831,9623; 924,4721; 899,0169; 845,2129; 918,8141; 933,7705; 534,5101; 605,6119; 728,5358; 360,0584; 462,9318; 204,3498; 136,3206; 146,0402; 123,8090; 87,6355; 82,4608; 55,5943; 50,2894; 30,9724; -0,2799; 0,0614; 0,4237; 4,2996; 0,4125; -0,2617; 0,0574; 1,0772; 12,2884; 12,1367; 44,8690; 55,1474; 79,6569; 118,5012; 174,5913; 215,4154; 288,6219; 394,3524; 530,6020</t>
  </si>
  <si>
    <t>1158,6407; 1118,2509; 1088,6983; 1266,4397; 1651,0422; 1637,8620; 1647,8831; 1748,0118; 1853,4370; 1841,4545; 1945,2131; 2037,9169; 2103,1587; 1841,4289; 1419,8425; 1459,6096; 1366,5215; 1238,3616; 1140,4700; 1163,1503; 1144,9060; 1093,6706; 1053,3352; 1175,1848; 1307,2546; 1186,1527; 1131,3082; 1094,0747; 1106,7702; 1003,8613; 900,4994; 762,6359; 704,0096; 648,6830; 623,3033; 590,8406; 554,9698; 516,9568; 458,4607; 414,4172; 393,3198</t>
  </si>
  <si>
    <t>13,9586; 154,2986; 393,0063; 526,7227; 703,7493; 941,9354; 1137,2798; 1454,7315; 1464,3005; 96,0050; 85,1514; 93,1789; 249,9543; 245,9121; 237,3713; 224,6319; 208,9900; 182,4357; 191,0914; 190,8933; 178,2524; 236,8883; 178,8898; 176,0215; 147,2581; 141,2828; 129,4825; 122,1822; 117,3729; 141,3828; 155,0378; 146,5491; 125,3315; 153,4134; 151,0163; 181,8698; 149,2223; 139,6086; 117,6977; 119,3672; 183,3709</t>
  </si>
  <si>
    <t>1326,2562; 1172,9228; 1061,0050; 1081,8106; 967,0268; 1874,5099; 1995,9024; 2505,9841; 2974,1393; 2871,9030; 3308,0205; 64,8233; 45,4588; 297,9404; 231,8747; 266,1908; 213,6715; 163,2040; 213,7720; 171,0201; 186,9859; 286,1737; 552,5228; 726,2724; 836,2580; 855,7039; 1040,7718; 1123,8988; 1135,9735; 993,4250; 895,1515; 938,2885; 912,2000; 564,2075; 348,5925; 267,9931; 239,3053; 196,9634; 143,0264; 111,3958; 95,6390</t>
  </si>
  <si>
    <t>1724,3010; 1515,0077; 1338,9725; 1127,8869; 828,8401; 756,3741; 726,1721; 628,0793; 570,4749; 499,2689; 476,5748; 516,7061; 636,6291; 681,4796; 1090,7367; 1455,5788; 2007,2591; 2230,2401; 2157,4663; 2101,6679; 1968,4604; 1796,6389; 1608,3158; 1639,7175; 1518,3428; 1371,4518; 1259,1051; 1168,9991; 1191,4472; 1143,2711; 1111,5183; 1036,5596; 977,3753; 903,9517; 830,6535; 766,0013; 743,1383; 699,3633; 682,5545; 640,7620; 617,5013</t>
  </si>
  <si>
    <t>1725,9805; 1618,1557; 1098,4021; 1203,8116; 1028,1425; 762,1261; 672,4774; 861,7434; 993,3392; 1116,7476; 857,8318; 1032,0427; 1288,0473; 1255,7495; 1388,7714; 923,2023; 1266,6894; 824,6147; 628,3418; 463,7406; 1016,3859; 906,7584; 825,3735; 991,3694; 890,3823; 600,2235; 824,3055; 659,7420; 548,8512; 708,6531; 596,9190; 643,8457; 571,2214; 669,5662; 673,1610; 444,0233; 605,3528; 455,6808; 473,0898; 563,6397; 579,3305</t>
  </si>
  <si>
    <t>2452,6502; 2427,4575; 1626,5160; 1397,9954; 1127,2338; 1016,6658; 899,3238; 932,7919; 1804,1712; 3021,0581; 4400,1667; 2623,6248; 2005,4796; 3575,5865; 4370,7174; 4254,7687; 151,0443; 1266,1936; -8,0413; 799,9355; 1052,8686; 1126,0357; 706,6878; 832,2095; 817,5234; 1175,7370; 2034,9738; 1461,2855; 830,9395; 612,8360; 250,4781; 194,2478; 257,1523; 295,8971; 282,5119; 168,2385; 177,9165; 381,7276; 365,7075; 564,3167; 881,1850</t>
  </si>
  <si>
    <t>291,1158; 5333,4566; 9158,9495; 8255,4572; 7404,7905; 6723,0871; 6099,4349; 5427,0540; 4926,5743; 4520,3956; 4202,5172; 3882,7628; 3592,5604; 3385,8054; 3195,2753; 3002,5420; 2847,7093; 2700,4242; 2558,4596; 2418,7906; 2365,5700; 2140,1865; 2070,4675; 1949,8873; 1856,0783; 1699,7153; 1535,5556; 1424,0293; 1178,6456; 1074,6168; 1028,0025; 960,5014; 956,9936; 844,6929; 735,8759; 732,0163; 709,5210; 790,3103; 577,1930; 659,6081; 500,6551</t>
  </si>
  <si>
    <t>32,8625; 41,0184; 51,8783; 61,0354; 72,1682; 97,9343; 163,0346; 205,2580; 175,8824; 113,9784; 118,0138; 231,7949; 437,9656; 554,7678; 769,6321; 958,5648; 866,5892; 712,1139; 510,5336; 639,1262; 482,1698; 477,7162; 578,6197; 625,5612; 508,9277; 491,0382; 416,1123; 398,9389; 434,3026; 378,2882; 347,4195; 359,8733; 406,9089; 448,3612; 455,0424; 677,0905; 638,1858; 694,5481; 449,8514; 377,8269; 415,9876</t>
  </si>
  <si>
    <t>37,6841; 59,4730; 119,3747; 151,2845; 163,3709; 143,3522; 125,2366; 126,4985; 157,3803; 172,5118; 164,6411; 163,8432; 166,3199; 168,1896; 160,7602; 158,6965; 155,3550; 150,0211; 144,7603; 133,1729; 113,2083; 111,5468; 108,1159; 102,7729; 79,4675; 99,3218; 157,6562; 228,4139; 295,6806; 335,5605; 340,0697; 244,9767; 212,7104; 234,4226; 245,7481; 248,6917; 245,3729; 234,9284; 243,5498; 272,6646; 317,4281</t>
  </si>
  <si>
    <t>3792,3426; 2473,7375; 1884,4147; 1456,4745; 1209,9965; 1173,4204; 927,6516; 772,8252; 728,2373; 653,4836; 556,4790; 474,2258; 452,0292; 457,5743; 405,6026; 410,5918; 308,7818; 333,0741; 314,0691; 309,0306; 296,1034; 297,3470; 278,2395; 252,1510; 246,9316; 254,2079; 246,8086; 215,7500; 196,1672; 196,6296; 188,2455; 133,8861; 143,6478; 106,9131; 166,7073; 131,3350; 148,1508; 147,3379; 169,2390; 160,0317; 75,2316</t>
  </si>
  <si>
    <t>424,0773; 491,6036; 444,2625; 403,2012; 430,7394; 363,6281; 321,3470; 307,3754; 376,0245; 392,9615; 328,3234; 70,0834; 183,4669; 284,6294; 221,9198; 191,5007; 80,8966; 101,0423; 184,4172; 188,7454; 123,4132; 199,4234; 255,8165; 444,7123; 1057,4780; 950,6322; 902,8854; 1414,9059; 191,1083; 198,8545; 215,8054; 206,8304; 148,3571; 52,8304; 259,3170; 32,0535; 146,3330; 156,2054; 51,2563; 19,9099; 51,2652</t>
  </si>
  <si>
    <t>530,1666; 617,7881; 669,1397; 826,1680; 785,8090; 728,4242; 782,7509; 826,8174; 807,0998; 728,8993; 712,1139; 692,1968; 617,5444; 490,1468; 464,4582; 490,6015; 369,8930; 400,2982; 310,8066; 399,2397; 519,9029; 480,2062; 505,6601; 541,5924; 454,1686; 335,3728; 9,5003; 149,3839; 154,7787; 357,7236; 312,2296; 274,1351; 410,5479; 447,4939; 353,4545; 325,7932; 271,0794; 355,6352; 396,1930; 163,8516; 103,8499</t>
  </si>
  <si>
    <t>555,6886; 434,1144; 460,6223; 644,8728; 542,0410; 417,7827; 434,7702; 497,4092; 460,8266; 384,2832; 917,1673; 1249,8570; 1272,2927; 1349,7098; 881,0917; 442,7519; 880,5132; 1100,0048; 937,7286; 834,4755; 575,5964; 244,2115; 238,8509; 762,2440; 668,9099; 574,8303; 530,0919; 290,3081; 243,2225; 217,3593; 243,7395; 269,7558; 283,6173; 249,6376; 203,0565; 213,9392; 201,3817; 178,6120; 12,4408; 141,2632; 147,9485</t>
  </si>
  <si>
    <t>671,2458; 712,6116; 710,3224; 962,9213; 3135,6526; 3847,5512; 3094,6245; 1878,6670; 1452,7796; 1823,8863; 1941,3937; 1887,8916; 1371,0432; 1296,6914; 2482,9324; 1988,9340; 2264,1715; 1674,1395; 1336,8070; 1120,2566; 1042,8982; 1265,6200; 1661,0020; 1705,3749; 1792,3213; 1538,7741; 1271,4909; 1215,4563; 1252,9174; 1399,3529; 1235,0615; 1154,1276; 837,4617; 773,6142; 639,3350; 580,8254; 516,3742; 463,2473; 461,9394; 470,7880; 463,9657</t>
  </si>
  <si>
    <t>672,4134; 326,4092; 314,1002; 202,4313; 269,5998; 317,3610; 320,2568; 414,3964; 441,8127; 215,4030; 293,8870; 160,5975; 131,3298; 200,9751; 200,9818; 125,6408; 162,7176; 143,8591; 178,3593; 285,0519; 268,4485; 120,5559; 87,6025; 143,7279; 129,8109; 142,8235; 115,2100; 131,3368; 143,7070; 252,1872; 370,8143; 443,8573; 474,6328; 397,4089; 302,2910; 121,9700; 122,9320; 141,4559; 135,1698; 124,4792; 131,6943</t>
  </si>
  <si>
    <t>7630,5918; 4175,6450; 4782,1361; 2579,2856; 1972,8691; 656,4500; 300,0732; 286,1394; 380,4659; 493,6753; 1029,3555; 3476,1633; 764,5787; 278,4261; 291,8156; 700,6537; 188,2300; 301,4875; 380,0180; 149,6100; 124,8948; 116,2516; 132,8682; 120,7459; 132,2079; 747,6118; 1044,6577; 691,0331; 557,9719; 690,8762; 370,6827; 348,9996; 482,1852; 699,2536; 881,6826; 823,2342; 612,2270; 480,3697; 292,8513; 221,9689; 240,1438</t>
  </si>
  <si>
    <t>81,6617; 100,1231; 104,4786; 128,0436; 93,4749; 110,5702; 104,2365; 157,1955; 54,3918; 47,5645; 46,1479; 46,2230; 45,4487; 49,6698; 58,3401; 87,6997; 93,9375; 101,4900; 87,9838; 82,3888; 81,4164; 93,5287; 87,2559; 93,5673; 71,6904; 68,1535; 65,9995; 77,3414; 49,4624; 100,7107; 103,8910; 87,5275; 78,0679; 32,5511; 26,2615; 19,8652; 20,0967; 18,2143; 40,4075; 95,5879; 90,8617</t>
  </si>
  <si>
    <t>9322,7581; 7417,4984; 6781,8241; 9971,6781; 7254,7879; 3891,7947; 8530,7626; 7834,6826; 10180,0007; 7431,2667; 9089,3505; 8587,0805; 358,5547; 143,9101; 289,7058; 188,7570; 103,4101; 161,7048; 34,5941; 224,9220; 340,2322; 1617,3261; 532,6046; 574,9447; 3114,6587; 788,4586; 259,4255; 651,9522; 6992,9034; 5710,5422; 1637,7980; 706,0582; 286,0150; 4473,0595; 5805,8529; 4927,9478; 1063,5743; 925,5794; 4892,2950; 3186,8530; 4543,5332</t>
  </si>
  <si>
    <t>944,1108; 860,5219; 836,7712; 1038,7148; 1672,1561; 2185,9061; 1703,0272; 2724,1058; 3426,8306; 1428,8244; 1042,6423; 989,2604; 899,8123; 921,8341; 185,3064; 175,8339; 88,1960; 117,4416; 147,1574; 153,3570; 151,6788; 174,1638; 917,2246; 1663,2278; 1778,7700; 1816,7543; 917,1390; 450,2913; 319,0487; 269,0093; 208,9875; 212,5200; 202,6614; 200,8647; 177,4686; 194,1269; 185,0386; 175,1936; 173,6897; 173,7097; 217,8442</t>
  </si>
  <si>
    <t>1068,7307; 504,6006; 299,6253; 732,4717; 822,5886; 588,7773; 394,7658; 281,8598; 306,2314; 296,1214; 297,0874; 279,0940; 92,7092; 129,8824; 159,6047; 201,3470; 848,9010; 1854,0043; 1674,1740; 1658,6134; 1579,3830; 2024,5286; 1792,0787; 1237,2781; 1089,4447; 875,2473; 777,0551; 679,3554; 709,0037; 573,6372; 510,8080; 420,7685; 269,7299; 230,3802; 187,5724; 153,0050; 145,4561; 143,7166; 147,4078; 200,4935; 240,1705</t>
  </si>
  <si>
    <t>1389,0700; 1344,7035; 1329,3220; 1355,2766; 1381,8837; 1410,2941; 1404,1710; 1403,4543; 65,8743; 33,8188; 27,7680; 35,1271; 51,5051; 162,0784; 118,2710; 112,7005; 44,4671; 111,5747; 130,5002; 36,2851; 15,9740; 27,6064; 38,4302; 28,4362; 36,3895; 13,5050; 49,9443; 71,6593; 69,4199; 73,0873; 21,7537; 43,3993; 12,1920; 17,9148; 9,3205; 20,6618; 29,5830; 22,5680; 32,2696; 42,0658; 156,0828</t>
  </si>
  <si>
    <t>193,9674; 131,4180; 60,7113; 79,0431; 89,2794; 95,8328; 161,1774; 211,9192; 413,3204; 486,1998; 501,4622; 660,5591; 585,6879; 577,4193; 619,2741; 618,1982; 580,7088; 617,1391; 668,7480; 682,5798; 658,1207; 682,4323; 834,3186; 920,3737; 1056,5494; 1132,1632; 988,0767; 955,3222; 996,7283; 977,3883; 996,3717; 986,3484; 958,7141; 898,4481; 884,8733; 883,4730; 832,1432; 916,1788; 122,3868; 85,9543; 79,1339</t>
  </si>
  <si>
    <t>2049,3803; 1894,2751; 1162,2937; 1485,5725; 1265,1021; 1210,2098; 1235,0026; 1957,7383; 162,0584; 143,8927; 111,5757; 105,5226; 72,4590; 96,1880; 57,9687; 760,9318; 1287,2379; 1391,2093; 1377,6213; 38,7088; 40,6666; 31,8339; 39,1025; 46,0968; 31,5583; 23,5336; 26,5523; 31,8224; 52,0070; 27,5175; 31,1270; 21,6593; 23,0798; 31,3865; 65,9209; 69,4888; 53,5748; 32,3870; 35,1051; 14,0203; 12,6363</t>
  </si>
  <si>
    <t>219,8204; 220,9494; 227,4581; 256,9589; 296,8741; 378,6349; 333,7676; 479,8133; 588,5933; 586,6599; 471,0352; 184,6850; 159,2374; 168,4330; 203,6619; 191,9478; 192,9342; 197,1091; 204,9007; 258,4529; 191,7109; 145,3140; 91,4183; 76,4206; 119,8915; 177,1434; 149,2338; 112,4071; 146,7190; 188,5165; 181,1229; 171,0784; 216,6173; 234,0222; 233,5605; 299,0606; 230,8849; 308,3607; 358,8277; 465,1830; 376,2298</t>
  </si>
  <si>
    <t>229,8695; 139,3860; 119,3788; 68,2742; 203,6792; 201,9895; 171,6512; 126,5472; 114,7201; 95,4238; 11,9581; 1,0099; 9,0005; 84,7996; 10,1186; 12,2961; 30,6311; 10,4896; 24,6329; 157,6276; 183,5522; 368,7956; 622,1787; 560,7622; 413,1954; 396,8476; 268,4169; 592,4256; 455,7411; 288,0001; 311,3339; 230,1171; 253,2645; 266,5136; 320,4997; 292,6684; 283,3370; 226,0291; 233,4668; 242,0201; 219,8204</t>
  </si>
  <si>
    <t>252,9280; 255,7407; 199,6867; 138,1597; 135,4973; 194,4967; 241,1198; 240,3517; 233,8363; 221,0606; 197,4257; 190,8774; 194,2171; 195,1943; 231,1287; 246,3135; 243,7414; 223,4693; 206,3040; 201,3785; 194,8973; 188,6471; 149,6149; 136,3693; 121,5710; 148,8955; 164,2522; 137,0230; 213,0044; 258,8329; 265,1144; 307,0385; 322,5076; 356,3827; 371,7729; 338,1690; 330,5577; 323,9640; 323,6390; 349,7711; 354,5076</t>
  </si>
  <si>
    <t>290,9665; 303,2516; 309,1705; 324,2310; 326,5502; 350,4906; 366,8805; 393,2786; 425,3590; 433,9749; 432,0830; 418,8134; 422,7043; 475,3676; 470,1621; 459,2164; 445,3390; 450,6338; 424,9170; 403,4490; 418,2214; 453,0516; 456,3972; 429,6176; 372,7277; 320,3495; 286,2372; 277,6796; 279,0696; 289,1421; 283,5766; 311,6003; 383,8683; 414,0313; 695,8786; 781,2927; 1063,6243; 1059,7817; 1121,9153; 892,7550; 661,8245</t>
  </si>
  <si>
    <t>2927,8407; 2443,6662; 2602,8395; 2766,4759; 683,7488; -1,0749; 754,1448; 4,8934; 84,9354; 62,8563; 237,8192; -0,8668; -0,8398; -0,8143; 59,8697; 187,9776; 253,9798; 517,0482; 1086,2036; 834,7615; 169,1271; 469,1715; 693,3460; 629,8828; 479,8321; 552,5725; 637,0470; 818,0305; 1034,3940; 952,3644; 1262,0092; 138,8398; 621,9800; 109,6860; 289,7058; 1130,0177; 561,0376; 667,5626; 875,2005; 733,5965; 401,6651</t>
  </si>
  <si>
    <t>2972,7397; 1596,4355; 2836,5125; 3138,8433; 2768,3989; 0,0000; 0,0000; 851,2351; 707,2620; 942,4735; 1602,7362; 1465,0952; 1354,8079; 2260,5706; 2545,3967; 2392,3768; 2290,8571; 2199,1720; 1390,4340; 1824,2658; 2041,5425; 1990,3918; 1919,8137; 1881,6688; 1720,3022; 1333,9823; 1477,9723; 1561,2265; 1544,4531; 1553,9329; 1527,3698; 1467,4688; 1441,8938; 1404,8132; 1371,3084; 1328,7024; 1312,8201; 1331,0833; 1307,8882; 1267,5975; 1248,9477</t>
  </si>
  <si>
    <t>298,0577; 363,0481; 297,5139; 380,5857; 486,4483; 406,9649; 355,1807; 314,4622; 345,7933; 351,4869; 446,7955; 538,3666; 824,2538; 927,3030; 300,6537; 105,3310; 261,6043; 258,3898; 87,3347; 144,8367; 122,9404; 82,5990; 77,0770; 126,1857; 114,0670; 168,6404; 224,7495; 162,4366; 59,6063; 88,8601; 141,3991; 136,8213; 87,3036; 5,7057; 1,0592; 1,7318; 22,8944; 29,6641; 26,6425; 41,1020; 18,1947</t>
  </si>
  <si>
    <t>315,6391; 328,7732; 337,4077; 344,1058; 351,8046; 350,2394; 352,6626; 87,6513; 69,7348; 81,9510; 112,9488; 59,7735; 86,2950; 57,1205; 87,3234; 107,3539; 106,3804; 73,7983; 49,5540; 56,9876; 86,8737; 40,0899; 10,4467; 40,4057; 42,4293; 27,4401; 52,2089; 25,2590; 150,9133; 232,1146; 305,4099; 59,5876; 147,8491; 49,8540; 19,1475; 103,7464; 41,0209; 26,3352; 38,5834; 44,2347; 47,0064</t>
  </si>
  <si>
    <t>401,6651; 398,5312; 478,6073; 664,3766; 816,6637; 896,3954; 1042,5541; 14,6059; 563,0653; 86,1664; 0,0000; 5,2041; 0,3732; 234,9172; 66,0609; 0,0000; 0,3536; 0,0000; 0,0000; 0,3402; 0,3359; 0,3318; 0,3277; 8,9034; 59,1296; 125,9043; 176,9869; 105,6871; 257,9326; 308,1751; 198,7798; 254,9416; 322,2720; 359,4280; 239,2295; 463,1216; 535,0885; 23,4093; 49,8827; 71,0033; 68,9720</t>
  </si>
  <si>
    <t>432,6428; 13,8662; 19,8595; 0,4684; 63,3126; 123,4678; 171,3822; 239,6535; 267,2057; 304,9603; 336,2667; 355,3476; 324,9825; 338,0597; 335,4658; 337,4636; 358,0535; 356,7677; 364,9611; 375,2836; 371,2055; 374,6135; 375,1175; 380,3015; 336,1087; 340,4583; 342,7990; 345,9229; 376,7521; 62,8645; 131,8356; 195,4299; 254,3510; 297,9562; 315,6391; 328,7732; 337,4077; 344,1058; 351,8046; 350,2394; 352,6626</t>
  </si>
  <si>
    <t>662,6882; 749,7729; 787,9098; 0,3068; 451,5926; 606,1776; 538,1516; 548,7866; 574,3364; 692,8668; 612,7147; 673,2708; 599,5182; 521,9848; 566,6893; 585,4983; 561,2181; 508,9506; 515,0001; 538,0987; 594,3738; 593,2560; 588,0490; 505,9491; 439,3894; 467,3174; 397,1351; 455,0040; 313,2808; 239,2035; 234,5049; 225,8863; 232,7389; 199,3458; 174,6695; 159,5058; 142,1988; 160,3125; 152,1515; 199,2407; 206,6311</t>
  </si>
  <si>
    <t>705,3959; 1484,3918; 1109,8788; 1160,5112; 1001,6124; 1125,2154; 1188,4241; 1133,0055; 991,9311; 1427,5382; 1847,3721; 1954,7751; 1827,4835; 2080,0262; 2490,4793; 419,5310; 481,9085; 382,1346; 198,5325; 142,5042; 78,9042; 271,6014; 244,2138; 275,5613; 268,9580; 257,0087; 332,4878; 167,5691; 69,1533; 56,0880; 83,9248; 242,9946; 87,7729; 119,9721; 94,3794; 82,3990; 125,0902; 250,6318; 97,5410; 94,3063; 81,6119</t>
  </si>
  <si>
    <t>931,8503; 729,7600; 600,9215; 609,3526; 618,7809; 614,4318; 658,8920; 578,4029; 635,2062; 590,1710; 659,7526; 734,3155; 724,4926; 702,4908; 688,1293; 656,7043; 638,0474; 628,4932; 608,1973; 596,1363; 574,4447; 532,3188; 509,0631; 441,5335; 485,5195; 476,5250; 473,2646; 376,1672; 398,2171; 451,5463; 438,2080; 411,5115; 373,3720; 303,1768; 305,2854; 354,0074; 335,7908; 331,7545; 248,7487; 247,6439; 192,6892</t>
  </si>
  <si>
    <t>95,9936; 64,7967; 66,9006; 53,6766; 334,1903; 422,7897; 691,4621; 1156,9582; 862,2684; 642,2921; 358,6882; 786,9411; 1632,0077; 71,2947; 430,6172; 446,8751; 627,8461; 30,9221; 13,7627; 5,3927; 63,4184; 367,8684; 288,1443; 21,9287; 14,6802; 397,7903; 15,5555; 10,6467; 112,9714; 53,2890; 0,8957; 202,7164; 206,7066; 0,4265; 0,0000; 1,6192; 24,4293; 69,4199; 36,9164; -0,3895; 56,6236</t>
  </si>
  <si>
    <t>97,9208; 147,2498; 61,7282; 40,1654; 187,8723; 184,6323; 111,9228; 248,0851; 34,3224; 32,7030; 42,5892; 98,0022; 182,2273; 155,5367; 210,5763; 113,1822; 85,5432; 47,8340; 34,9989; 36,8960; 176,7688; 140,3557; 126,5234; 172,2964; 42,9099; 60,2029; 41,3000; 76,6426; 177,8730; 195,8973; 34,8915; 30,2760; 31,2625; 112,1421; 107,7186; 122,0022; 129,4905; 123,7726; 116,2824; 79,5105; 54,3576</t>
  </si>
  <si>
    <t>99,1585; 53,6566; 529,8221; 1078,2268; 952,5540; 909,2990; 777,4550; 726,7286; 684,5853; 659,0906; 602,3110; 541,2991; 645,9447; 649,5187; 518,4100; 481,5640; 465,8531; 509,4024; 457,6182; 428,0083; 413,5763; 332,5595; 9,3928; 286,1769; 320,1668; 317,3012; 304,7876; 359,8377; 298,6664; 233,0060; 215,5656; 300,3220; 276,3688; 60,6783; 23,1400; 26,2926; 95,4328; 146,8706; 199,2514; 285,8067; 348,0948</t>
  </si>
  <si>
    <t>6.Silty sand</t>
  </si>
  <si>
    <t xml:space="preserve"> </t>
  </si>
  <si>
    <t>definition interval</t>
  </si>
  <si>
    <r>
      <t xml:space="preserve">ΔD </t>
    </r>
    <r>
      <rPr>
        <vertAlign val="subscript"/>
        <sz val="11"/>
        <rFont val="Calibri"/>
        <family val="2"/>
        <scheme val="minor"/>
      </rPr>
      <t>method</t>
    </r>
  </si>
  <si>
    <r>
      <t xml:space="preserve">ΔD </t>
    </r>
    <r>
      <rPr>
        <vertAlign val="subscript"/>
        <sz val="11"/>
        <rFont val="Calibri"/>
        <family val="2"/>
        <scheme val="minor"/>
      </rPr>
      <t>sounding</t>
    </r>
  </si>
  <si>
    <t>Compatibility check (does not stop macro from running)</t>
  </si>
  <si>
    <t>Some noteworthy features of this release include
  ∙  Automated parsing and presentation of total sounding files (SGF fileformat)
  ∙  Calculations and presentation are separated
  ∙  Figures have a dynamic title block where all are controlled from a single sheet
  ∙  Figures are set up for easy presentation of data
  ∙  Some classification models are implemented including one using dynamic time warping
  ∙  Cells to set parameters affecting models in figures are placed by the relevant figure</t>
  </si>
  <si>
    <t>2024.02</t>
  </si>
  <si>
    <r>
      <t>Apply F</t>
    </r>
    <r>
      <rPr>
        <vertAlign val="subscript"/>
        <sz val="11"/>
        <color theme="1"/>
        <rFont val="Calibri"/>
        <family val="2"/>
        <scheme val="minor"/>
      </rPr>
      <t>DT</t>
    </r>
    <r>
      <rPr>
        <sz val="11"/>
        <color theme="1"/>
        <rFont val="Calibri"/>
        <family val="2"/>
        <scheme val="minor"/>
      </rPr>
      <t xml:space="preserve"> shifts (correct for negative)</t>
    </r>
  </si>
  <si>
    <t>Correct if FDT&lt;0</t>
  </si>
  <si>
    <r>
      <t>F</t>
    </r>
    <r>
      <rPr>
        <vertAlign val="subscript"/>
        <sz val="11"/>
        <color theme="1"/>
        <rFont val="Calibri"/>
        <family val="2"/>
        <scheme val="minor"/>
      </rPr>
      <t>DT</t>
    </r>
    <r>
      <rPr>
        <sz val="11"/>
        <color theme="1"/>
        <rFont val="Calibri"/>
        <family val="2"/>
        <scheme val="minor"/>
      </rPr>
      <t xml:space="preserve"> lower bound (if corrected)</t>
    </r>
  </si>
  <si>
    <t>(sometimes registered - never drawn)</t>
  </si>
  <si>
    <r>
      <t>A few minor edits
  ∙  For negative F</t>
    </r>
    <r>
      <rPr>
        <vertAlign val="subscript"/>
        <sz val="10"/>
        <rFont val="Lucida Sans Unicode"/>
        <family val="2"/>
      </rPr>
      <t>DT</t>
    </r>
    <r>
      <rPr>
        <sz val="10"/>
        <rFont val="Lucida Sans Unicode"/>
        <family val="2"/>
      </rPr>
      <t>: message displayed asking if zero correction is desired (still carried out)
  ∙  Finished descriptions for each sheet in engsligh</t>
    </r>
  </si>
  <si>
    <t>Total v.2024.02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</si>
</sst>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0"/>
    <numFmt numFmtId="166" formatCode="0.000"/>
    <numFmt numFmtId="167" formatCode="0.00000"/>
    <numFmt numFmtId="168" formatCode="0E+00"/>
  </numFmts>
  <fonts count="5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color rgb="FF000000"/>
      <name val="Segoe UI"/>
      <family val="2"/>
    </font>
    <font>
      <sz val="16"/>
      <color rgb="FF000000"/>
      <name val="Lucida Sans Unicode"/>
      <family val="2"/>
    </font>
    <font>
      <b/>
      <sz val="15"/>
      <name val="Lucida Sans Unicode"/>
      <family val="2"/>
    </font>
    <font>
      <sz val="10"/>
      <color theme="1"/>
      <name val="Lucida Sans Unicode"/>
      <family val="2"/>
    </font>
    <font>
      <sz val="10"/>
      <name val="Lucida Sans Unicode"/>
      <family val="2"/>
    </font>
    <font>
      <b/>
      <sz val="11"/>
      <name val="Lucida Sans Unicode"/>
      <family val="2"/>
    </font>
    <font>
      <b/>
      <sz val="10"/>
      <color rgb="FF58B02C"/>
      <name val="Lucida Sans Unicode"/>
      <family val="2"/>
    </font>
    <font>
      <sz val="10"/>
      <color theme="0" tint="-0.499984740745262"/>
      <name val="Lucida Sans Unicode"/>
      <family val="2"/>
    </font>
    <font>
      <b/>
      <sz val="10"/>
      <color rgb="FF008EC2"/>
      <name val="Lucida Sans Unicode"/>
      <family val="2"/>
    </font>
    <font>
      <vertAlign val="subscript"/>
      <sz val="10"/>
      <name val="Lucida Sans Unicode"/>
      <family val="2"/>
    </font>
    <font>
      <vertAlign val="superscript"/>
      <sz val="10"/>
      <name val="Lucida Sans Unicode"/>
      <family val="2"/>
    </font>
    <font>
      <b/>
      <sz val="10"/>
      <color rgb="FF7F7F7F"/>
      <name val="Lucida Sans Unicode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theme="1"/>
      <name val="Lucida Sans Unicode"/>
      <family val="2"/>
    </font>
    <font>
      <sz val="10"/>
      <color theme="0"/>
      <name val="Lucida Sans Unicode"/>
      <family val="2"/>
    </font>
    <font>
      <sz val="14"/>
      <color theme="1"/>
      <name val="Lucida Sans Unicode"/>
      <family val="2"/>
    </font>
    <font>
      <sz val="11"/>
      <color theme="1"/>
      <name val="Lucida Sans Unicode"/>
      <family val="2"/>
    </font>
    <font>
      <b/>
      <sz val="11"/>
      <color theme="1"/>
      <name val="Lucida Sans Unicode"/>
      <family val="2"/>
    </font>
    <font>
      <sz val="10"/>
      <color rgb="FF5DB82E"/>
      <name val="Lucida Sans Unicode"/>
      <family val="2"/>
    </font>
    <font>
      <sz val="9"/>
      <name val="Lucida Sans Unicode"/>
      <family val="2"/>
    </font>
    <font>
      <sz val="9"/>
      <color theme="1"/>
      <name val="Lucida Sans Unicode"/>
      <family val="2"/>
    </font>
    <font>
      <b/>
      <sz val="14"/>
      <color theme="1"/>
      <name val="Lucida Sans Unicode"/>
      <family val="2"/>
    </font>
    <font>
      <sz val="10"/>
      <color rgb="FF58B02C"/>
      <name val="Lucida Sans Unicode"/>
      <family val="2"/>
    </font>
    <font>
      <b/>
      <sz val="10"/>
      <color theme="0"/>
      <name val="Lucida Sans Unicode"/>
      <family val="2"/>
    </font>
    <font>
      <vertAlign val="subscript"/>
      <sz val="10"/>
      <color theme="1"/>
      <name val="Lucida Sans Unicode"/>
      <family val="2"/>
    </font>
    <font>
      <vertAlign val="superscript"/>
      <sz val="10"/>
      <color theme="1"/>
      <name val="Lucida Sans Unicode"/>
      <family val="2"/>
    </font>
    <font>
      <b/>
      <sz val="10"/>
      <color rgb="FF3F3F3F"/>
      <name val="Lucida Sans Unicode"/>
      <family val="2"/>
    </font>
    <font>
      <sz val="10"/>
      <color rgb="FF3F3F3F"/>
      <name val="Lucida Sans Unicode"/>
      <family val="2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3F"/>
      <name val="Calibri"/>
      <family val="2"/>
      <scheme val="minor"/>
    </font>
    <font>
      <sz val="8.6"/>
      <color theme="0" tint="-0.499984740745262"/>
      <name val="Lucida Sans Unicode"/>
      <family val="2"/>
    </font>
    <font>
      <b/>
      <vertAlign val="subscript"/>
      <sz val="10"/>
      <color theme="1"/>
      <name val="Lucida Sans Unicode"/>
      <family val="2"/>
    </font>
    <font>
      <b/>
      <vertAlign val="superscript"/>
      <sz val="10"/>
      <color theme="1"/>
      <name val="Lucida Sans Unicode"/>
      <family val="2"/>
    </font>
    <font>
      <vertAlign val="subscript"/>
      <sz val="10"/>
      <color theme="0" tint="-0.499984740745262"/>
      <name val="Lucida Sans Unicode"/>
      <family val="2"/>
    </font>
    <font>
      <vertAlign val="subscript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</font>
    <font>
      <b/>
      <sz val="10"/>
      <color theme="0" tint="-0.499984740745262"/>
      <name val="Lucida Sans Unicode"/>
      <family val="2"/>
    </font>
    <font>
      <b/>
      <vertAlign val="subscript"/>
      <sz val="10"/>
      <color theme="0" tint="-0.499984740745262"/>
      <name val="Lucida Sans Unicode"/>
      <family val="2"/>
    </font>
    <font>
      <sz val="8"/>
      <name val="Calibri"/>
      <family val="2"/>
      <scheme val="minor"/>
    </font>
    <font>
      <sz val="11"/>
      <color theme="1"/>
      <name val="Times New Roman"/>
      <family val="1"/>
    </font>
    <font>
      <vertAlign val="subscript"/>
      <sz val="11"/>
      <color theme="1"/>
      <name val="Calibri"/>
      <family val="2"/>
    </font>
    <font>
      <b/>
      <sz val="10"/>
      <name val="Lucida Sans Unicode"/>
      <family val="2"/>
    </font>
    <font>
      <sz val="11"/>
      <name val="Calibri"/>
      <family val="2"/>
      <scheme val="minor"/>
    </font>
    <font>
      <sz val="9"/>
      <color theme="0" tint="-0.499984740745262"/>
      <name val="Lucida Sans Unicode"/>
      <family val="2"/>
    </font>
    <font>
      <sz val="11"/>
      <color rgb="FF000000"/>
      <name val="Lucida Sans Unicode"/>
      <family val="2"/>
    </font>
    <font>
      <b/>
      <vertAlign val="subscript"/>
      <sz val="10"/>
      <name val="Lucida Sans Unicode"/>
      <family val="2"/>
    </font>
    <font>
      <b/>
      <sz val="9"/>
      <color theme="0"/>
      <name val="Lucida Sans Unicode"/>
      <family val="2"/>
    </font>
    <font>
      <u/>
      <sz val="11"/>
      <color theme="10"/>
      <name val="Calibri"/>
      <family val="2"/>
      <scheme val="minor"/>
    </font>
    <font>
      <vertAlign val="subscript"/>
      <sz val="1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444F55"/>
        <bgColor indexed="64"/>
      </patternFill>
    </fill>
    <fill>
      <patternFill patternType="solid">
        <fgColor rgb="FF008EC2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5DB82E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rgb="FFECECEC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A0BE"/>
        <bgColor indexed="64"/>
      </patternFill>
    </fill>
    <fill>
      <patternFill patternType="solid">
        <fgColor rgb="FF46BED2"/>
        <bgColor indexed="64"/>
      </patternFill>
    </fill>
    <fill>
      <patternFill patternType="solid">
        <fgColor rgb="FF966EBE"/>
        <bgColor indexed="64"/>
      </patternFill>
    </fill>
    <fill>
      <patternFill patternType="solid">
        <fgColor rgb="FF6E32A0"/>
        <bgColor indexed="64"/>
      </patternFill>
    </fill>
    <fill>
      <patternFill patternType="solid">
        <fgColor rgb="FF460082"/>
        <bgColor indexed="64"/>
      </patternFill>
    </fill>
    <fill>
      <patternFill patternType="solid">
        <fgColor rgb="FF50B496"/>
        <bgColor indexed="64"/>
      </patternFill>
    </fill>
    <fill>
      <patternFill patternType="solid">
        <fgColor rgb="FF0A9664"/>
        <bgColor indexed="64"/>
      </patternFill>
    </fill>
    <fill>
      <patternFill patternType="solid">
        <fgColor rgb="FF007832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theme="7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theme="0" tint="-0.24994659260841701"/>
      </bottom>
      <diagonal/>
    </border>
    <border>
      <left style="thin">
        <color indexed="64"/>
      </left>
      <right style="thin">
        <color rgb="FFB2B2B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B2B2B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  <xf numFmtId="0" fontId="1" fillId="2" borderId="2" applyNumberFormat="0" applyFont="0" applyAlignment="0" applyProtection="0"/>
    <xf numFmtId="0" fontId="4" fillId="0" borderId="0" applyNumberFormat="0" applyFill="0" applyBorder="0" applyAlignment="0" applyProtection="0"/>
    <xf numFmtId="0" fontId="34" fillId="12" borderId="32" applyNumberFormat="0" applyAlignment="0" applyProtection="0"/>
    <xf numFmtId="0" fontId="8" fillId="2" borderId="2" applyNumberFormat="0" applyFont="0" applyAlignment="0" applyProtection="0"/>
    <xf numFmtId="0" fontId="8" fillId="0" borderId="0"/>
    <xf numFmtId="0" fontId="55" fillId="0" borderId="0" applyNumberFormat="0" applyFill="0" applyBorder="0" applyAlignment="0" applyProtection="0"/>
  </cellStyleXfs>
  <cellXfs count="419">
    <xf numFmtId="0" fontId="0" fillId="0" borderId="0" xfId="0"/>
    <xf numFmtId="0" fontId="7" fillId="0" borderId="0" xfId="1" applyFont="1" applyBorder="1" applyAlignment="1"/>
    <xf numFmtId="164" fontId="9" fillId="3" borderId="3" xfId="3" applyNumberFormat="1" applyFont="1" applyFill="1" applyBorder="1" applyAlignment="1">
      <alignment horizontal="left" vertical="center"/>
    </xf>
    <xf numFmtId="0" fontId="8" fillId="0" borderId="0" xfId="0" applyFont="1" applyAlignment="1">
      <alignment horizontal="left"/>
    </xf>
    <xf numFmtId="0" fontId="8" fillId="0" borderId="0" xfId="0" applyFont="1"/>
    <xf numFmtId="164" fontId="9" fillId="3" borderId="4" xfId="3" applyNumberFormat="1" applyFont="1" applyFill="1" applyBorder="1" applyAlignment="1">
      <alignment horizontal="left" vertical="center"/>
    </xf>
    <xf numFmtId="0" fontId="10" fillId="0" borderId="0" xfId="2" applyFont="1"/>
    <xf numFmtId="0" fontId="11" fillId="0" borderId="2" xfId="4" applyFont="1" applyFill="1" applyBorder="1" applyAlignment="1">
      <alignment horizontal="left"/>
    </xf>
    <xf numFmtId="0" fontId="11" fillId="2" borderId="2" xfId="3" applyFont="1"/>
    <xf numFmtId="164" fontId="9" fillId="3" borderId="4" xfId="3" applyNumberFormat="1" applyFont="1" applyFill="1" applyBorder="1" applyAlignment="1">
      <alignment horizontal="center" vertical="center"/>
    </xf>
    <xf numFmtId="0" fontId="11" fillId="2" borderId="2" xfId="3" applyFont="1" applyAlignment="1">
      <alignment horizontal="left"/>
    </xf>
    <xf numFmtId="0" fontId="9" fillId="4" borderId="2" xfId="3" applyFont="1" applyFill="1" applyAlignment="1">
      <alignment horizontal="left"/>
    </xf>
    <xf numFmtId="0" fontId="11" fillId="0" borderId="0" xfId="4" applyFont="1" applyFill="1" applyBorder="1" applyAlignment="1">
      <alignment horizontal="left"/>
    </xf>
    <xf numFmtId="0" fontId="9" fillId="0" borderId="0" xfId="4" applyFont="1" applyFill="1" applyBorder="1" applyAlignment="1">
      <alignment horizontal="left"/>
    </xf>
    <xf numFmtId="0" fontId="11" fillId="3" borderId="2" xfId="3" applyFont="1" applyFill="1" applyAlignment="1">
      <alignment horizontal="left" vertical="center"/>
    </xf>
    <xf numFmtId="0" fontId="12" fillId="0" borderId="0" xfId="0" applyFont="1"/>
    <xf numFmtId="0" fontId="11" fillId="0" borderId="0" xfId="4" applyFont="1" applyFill="1" applyBorder="1" applyAlignment="1"/>
    <xf numFmtId="0" fontId="11" fillId="2" borderId="2" xfId="3" quotePrefix="1" applyFont="1" applyAlignment="1">
      <alignment horizontal="left"/>
    </xf>
    <xf numFmtId="0" fontId="11" fillId="2" borderId="2" xfId="3" applyFont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applyAlignment="1">
      <alignment horizontal="left"/>
    </xf>
    <xf numFmtId="14" fontId="11" fillId="4" borderId="2" xfId="3" applyNumberFormat="1" applyFont="1" applyFill="1" applyAlignment="1">
      <alignment horizontal="center"/>
    </xf>
    <xf numFmtId="164" fontId="9" fillId="0" borderId="2" xfId="3" applyNumberFormat="1" applyFont="1" applyFill="1" applyAlignment="1">
      <alignment horizontal="left" vertical="center"/>
    </xf>
    <xf numFmtId="164" fontId="9" fillId="3" borderId="2" xfId="3" applyNumberFormat="1" applyFont="1" applyFill="1" applyAlignment="1">
      <alignment horizontal="center" vertical="center"/>
    </xf>
    <xf numFmtId="164" fontId="9" fillId="0" borderId="2" xfId="3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1" fillId="3" borderId="2" xfId="3" applyFont="1" applyFill="1" applyAlignment="1">
      <alignment horizontal="center" vertical="center"/>
    </xf>
    <xf numFmtId="0" fontId="11" fillId="0" borderId="2" xfId="4" applyFont="1" applyFill="1" applyBorder="1" applyAlignment="1">
      <alignment horizontal="center"/>
    </xf>
    <xf numFmtId="0" fontId="16" fillId="0" borderId="2" xfId="4" applyFont="1" applyFill="1" applyBorder="1" applyAlignment="1">
      <alignment horizontal="center"/>
    </xf>
    <xf numFmtId="0" fontId="11" fillId="3" borderId="2" xfId="3" applyFont="1" applyFill="1" applyAlignment="1">
      <alignment vertical="top"/>
    </xf>
    <xf numFmtId="0" fontId="11" fillId="2" borderId="2" xfId="3" applyFont="1" applyAlignment="1">
      <alignment horizontal="center" vertical="top"/>
    </xf>
    <xf numFmtId="14" fontId="11" fillId="2" borderId="2" xfId="3" applyNumberFormat="1" applyFont="1" applyAlignment="1">
      <alignment horizontal="center" vertical="top"/>
    </xf>
    <xf numFmtId="0" fontId="11" fillId="2" borderId="2" xfId="3" applyFont="1" applyAlignment="1">
      <alignment horizontal="left" vertical="top"/>
    </xf>
    <xf numFmtId="0" fontId="11" fillId="0" borderId="2" xfId="3" applyFont="1" applyFill="1" applyAlignment="1">
      <alignment horizontal="left" vertical="top"/>
    </xf>
    <xf numFmtId="0" fontId="8" fillId="0" borderId="8" xfId="0" applyFont="1" applyBorder="1"/>
    <xf numFmtId="164" fontId="9" fillId="5" borderId="9" xfId="3" applyNumberFormat="1" applyFont="1" applyFill="1" applyBorder="1" applyAlignment="1">
      <alignment horizontal="center"/>
    </xf>
    <xf numFmtId="0" fontId="0" fillId="0" borderId="10" xfId="0" applyBorder="1"/>
    <xf numFmtId="0" fontId="8" fillId="0" borderId="10" xfId="0" applyFont="1" applyBorder="1"/>
    <xf numFmtId="0" fontId="8" fillId="0" borderId="11" xfId="0" applyFont="1" applyBorder="1"/>
    <xf numFmtId="0" fontId="20" fillId="6" borderId="12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9" borderId="13" xfId="0" applyFont="1" applyFill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21" fillId="0" borderId="15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2" fillId="0" borderId="17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center"/>
    </xf>
    <xf numFmtId="0" fontId="22" fillId="0" borderId="0" xfId="0" applyFont="1"/>
    <xf numFmtId="0" fontId="22" fillId="0" borderId="18" xfId="0" applyFont="1" applyBorder="1" applyAlignment="1">
      <alignment horizontal="center"/>
    </xf>
    <xf numFmtId="14" fontId="22" fillId="0" borderId="0" xfId="0" applyNumberFormat="1" applyFont="1" applyAlignment="1">
      <alignment horizontal="center"/>
    </xf>
    <xf numFmtId="164" fontId="22" fillId="0" borderId="0" xfId="0" applyNumberFormat="1" applyFont="1" applyAlignment="1">
      <alignment horizontal="center"/>
    </xf>
    <xf numFmtId="164" fontId="22" fillId="0" borderId="18" xfId="0" applyNumberFormat="1" applyFont="1" applyBorder="1" applyAlignment="1">
      <alignment horizontal="center"/>
    </xf>
    <xf numFmtId="2" fontId="22" fillId="0" borderId="0" xfId="0" applyNumberFormat="1" applyFont="1" applyAlignment="1">
      <alignment horizontal="center"/>
    </xf>
    <xf numFmtId="0" fontId="0" fillId="0" borderId="17" xfId="0" applyBorder="1"/>
    <xf numFmtId="0" fontId="22" fillId="0" borderId="17" xfId="0" applyFont="1" applyBorder="1"/>
    <xf numFmtId="166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left" indent="4"/>
    </xf>
    <xf numFmtId="0" fontId="22" fillId="0" borderId="18" xfId="0" applyFont="1" applyBorder="1" applyAlignment="1">
      <alignment horizontal="left" indent="4"/>
    </xf>
    <xf numFmtId="165" fontId="22" fillId="0" borderId="0" xfId="0" applyNumberFormat="1" applyFont="1" applyAlignment="1">
      <alignment horizontal="center"/>
    </xf>
    <xf numFmtId="165" fontId="22" fillId="0" borderId="18" xfId="0" applyNumberFormat="1" applyFont="1" applyBorder="1" applyAlignment="1">
      <alignment horizontal="center"/>
    </xf>
    <xf numFmtId="0" fontId="23" fillId="0" borderId="17" xfId="0" applyFont="1" applyBorder="1"/>
    <xf numFmtId="0" fontId="23" fillId="0" borderId="0" xfId="0" applyFont="1"/>
    <xf numFmtId="164" fontId="23" fillId="0" borderId="0" xfId="0" applyNumberFormat="1" applyFont="1" applyAlignment="1">
      <alignment horizontal="center"/>
    </xf>
    <xf numFmtId="164" fontId="23" fillId="0" borderId="18" xfId="0" applyNumberFormat="1" applyFont="1" applyBorder="1" applyAlignment="1">
      <alignment horizontal="center"/>
    </xf>
    <xf numFmtId="0" fontId="22" fillId="0" borderId="0" xfId="0" applyFont="1" applyAlignment="1">
      <alignment horizontal="left" vertical="center" indent="2"/>
    </xf>
    <xf numFmtId="0" fontId="22" fillId="0" borderId="18" xfId="0" applyFont="1" applyBorder="1" applyAlignment="1">
      <alignment horizontal="left" vertical="center" indent="2"/>
    </xf>
    <xf numFmtId="0" fontId="23" fillId="0" borderId="17" xfId="0" applyFont="1" applyBorder="1" applyAlignment="1">
      <alignment horizontal="left"/>
    </xf>
    <xf numFmtId="0" fontId="23" fillId="0" borderId="0" xfId="0" applyFont="1" applyAlignment="1">
      <alignment horizontal="left"/>
    </xf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0" borderId="18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/>
    </xf>
    <xf numFmtId="0" fontId="22" fillId="0" borderId="17" xfId="0" applyFont="1" applyBorder="1" applyAlignment="1">
      <alignment vertical="top"/>
    </xf>
    <xf numFmtId="0" fontId="22" fillId="0" borderId="18" xfId="0" applyFont="1" applyBorder="1"/>
    <xf numFmtId="0" fontId="24" fillId="0" borderId="17" xfId="0" applyFont="1" applyBorder="1"/>
    <xf numFmtId="0" fontId="25" fillId="0" borderId="19" xfId="0" applyFont="1" applyBorder="1" applyAlignment="1">
      <alignment vertical="center"/>
    </xf>
    <xf numFmtId="0" fontId="0" fillId="0" borderId="6" xfId="0" applyBorder="1" applyAlignment="1">
      <alignment vertical="center"/>
    </xf>
    <xf numFmtId="0" fontId="25" fillId="0" borderId="6" xfId="0" applyFont="1" applyBorder="1" applyAlignment="1">
      <alignment vertical="center"/>
    </xf>
    <xf numFmtId="0" fontId="26" fillId="0" borderId="6" xfId="0" applyFont="1" applyBorder="1" applyAlignment="1">
      <alignment horizontal="right" vertical="center"/>
    </xf>
    <xf numFmtId="0" fontId="25" fillId="0" borderId="5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0" fillId="0" borderId="0" xfId="0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0" xfId="0" applyFont="1" applyAlignment="1">
      <alignment vertical="center"/>
    </xf>
    <xf numFmtId="0" fontId="0" fillId="0" borderId="1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7" xfId="0" applyBorder="1" applyAlignment="1">
      <alignment vertical="center"/>
    </xf>
    <xf numFmtId="0" fontId="25" fillId="0" borderId="23" xfId="0" applyFont="1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7" xfId="0" applyBorder="1" applyAlignment="1">
      <alignment vertical="center"/>
    </xf>
    <xf numFmtId="0" fontId="25" fillId="0" borderId="27" xfId="0" applyFont="1" applyBorder="1" applyAlignment="1">
      <alignment vertical="center"/>
    </xf>
    <xf numFmtId="2" fontId="9" fillId="2" borderId="2" xfId="3" applyNumberFormat="1" applyFont="1" applyAlignment="1">
      <alignment horizontal="center"/>
    </xf>
    <xf numFmtId="164" fontId="32" fillId="3" borderId="2" xfId="3" applyNumberFormat="1" applyFont="1" applyFill="1" applyAlignment="1">
      <alignment horizontal="center"/>
    </xf>
    <xf numFmtId="164" fontId="32" fillId="0" borderId="2" xfId="3" applyNumberFormat="1" applyFont="1" applyFill="1" applyAlignment="1">
      <alignment horizontal="center"/>
    </xf>
    <xf numFmtId="2" fontId="32" fillId="11" borderId="31" xfId="3" applyNumberFormat="1" applyFont="1" applyFill="1" applyBorder="1" applyAlignment="1">
      <alignment horizontal="center"/>
    </xf>
    <xf numFmtId="164" fontId="9" fillId="2" borderId="31" xfId="3" applyNumberFormat="1" applyFont="1" applyBorder="1" applyAlignment="1">
      <alignment horizontal="center"/>
    </xf>
    <xf numFmtId="2" fontId="9" fillId="3" borderId="2" xfId="3" applyNumberFormat="1" applyFont="1" applyFill="1" applyAlignment="1">
      <alignment horizontal="center"/>
    </xf>
    <xf numFmtId="164" fontId="9" fillId="3" borderId="2" xfId="3" applyNumberFormat="1" applyFont="1" applyFill="1" applyAlignment="1">
      <alignment horizontal="center"/>
    </xf>
    <xf numFmtId="164" fontId="33" fillId="0" borderId="2" xfId="3" applyNumberFormat="1" applyFont="1" applyFill="1" applyAlignment="1">
      <alignment horizontal="center"/>
    </xf>
    <xf numFmtId="2" fontId="9" fillId="11" borderId="31" xfId="3" applyNumberFormat="1" applyFont="1" applyFill="1" applyBorder="1" applyAlignment="1">
      <alignment horizontal="center"/>
    </xf>
    <xf numFmtId="164" fontId="9" fillId="11" borderId="31" xfId="3" applyNumberFormat="1" applyFont="1" applyFill="1" applyBorder="1" applyAlignment="1">
      <alignment horizontal="center"/>
    </xf>
    <xf numFmtId="2" fontId="9" fillId="3" borderId="31" xfId="3" applyNumberFormat="1" applyFont="1" applyFill="1" applyBorder="1" applyAlignment="1">
      <alignment horizontal="center"/>
    </xf>
    <xf numFmtId="164" fontId="9" fillId="3" borderId="31" xfId="3" applyNumberFormat="1" applyFont="1" applyFill="1" applyBorder="1" applyAlignment="1">
      <alignment horizontal="center"/>
    </xf>
    <xf numFmtId="0" fontId="12" fillId="0" borderId="0" xfId="0" applyFont="1" applyAlignment="1">
      <alignment vertical="center"/>
    </xf>
    <xf numFmtId="0" fontId="0" fillId="0" borderId="0" xfId="0" applyAlignment="1">
      <alignment horizontal="center" vertical="top" wrapText="1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36" fillId="12" borderId="32" xfId="5" applyFont="1" applyAlignment="1">
      <alignment horizontal="center"/>
    </xf>
    <xf numFmtId="0" fontId="35" fillId="0" borderId="33" xfId="0" applyFont="1" applyBorder="1" applyAlignment="1">
      <alignment horizontal="center"/>
    </xf>
    <xf numFmtId="0" fontId="37" fillId="0" borderId="20" xfId="0" applyFont="1" applyBorder="1" applyAlignment="1">
      <alignment horizontal="right" vertical="center"/>
    </xf>
    <xf numFmtId="1" fontId="9" fillId="4" borderId="33" xfId="3" applyNumberFormat="1" applyFont="1" applyFill="1" applyBorder="1" applyAlignment="1">
      <alignment horizontal="center"/>
    </xf>
    <xf numFmtId="2" fontId="9" fillId="4" borderId="33" xfId="3" applyNumberFormat="1" applyFont="1" applyFill="1" applyBorder="1" applyAlignment="1">
      <alignment horizontal="center"/>
    </xf>
    <xf numFmtId="49" fontId="9" fillId="4" borderId="33" xfId="3" applyNumberFormat="1" applyFont="1" applyFill="1" applyBorder="1" applyAlignment="1">
      <alignment horizontal="center"/>
    </xf>
    <xf numFmtId="0" fontId="27" fillId="0" borderId="18" xfId="0" applyFont="1" applyBorder="1" applyAlignment="1">
      <alignment vertical="center"/>
    </xf>
    <xf numFmtId="0" fontId="25" fillId="0" borderId="0" xfId="0" applyFont="1" applyBorder="1" applyAlignment="1">
      <alignment vertical="center"/>
    </xf>
    <xf numFmtId="0" fontId="0" fillId="0" borderId="20" xfId="0" applyBorder="1"/>
    <xf numFmtId="0" fontId="0" fillId="0" borderId="0" xfId="0" applyBorder="1"/>
    <xf numFmtId="0" fontId="27" fillId="0" borderId="6" xfId="0" applyFont="1" applyBorder="1" applyAlignment="1">
      <alignment vertical="center"/>
    </xf>
    <xf numFmtId="166" fontId="0" fillId="0" borderId="0" xfId="0" applyNumberFormat="1" applyAlignment="1">
      <alignment horizontal="center"/>
    </xf>
    <xf numFmtId="2" fontId="0" fillId="0" borderId="0" xfId="0" applyNumberFormat="1"/>
    <xf numFmtId="4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Border="1" applyAlignment="1">
      <alignment horizontal="center" vertical="center"/>
    </xf>
    <xf numFmtId="0" fontId="8" fillId="0" borderId="0" xfId="0" applyFont="1" applyBorder="1"/>
    <xf numFmtId="0" fontId="11" fillId="0" borderId="34" xfId="4" applyFont="1" applyFill="1" applyBorder="1" applyAlignment="1">
      <alignment horizontal="center"/>
    </xf>
    <xf numFmtId="164" fontId="9" fillId="2" borderId="35" xfId="3" applyNumberFormat="1" applyFont="1" applyBorder="1" applyAlignment="1">
      <alignment horizontal="center"/>
    </xf>
    <xf numFmtId="164" fontId="9" fillId="3" borderId="35" xfId="3" applyNumberFormat="1" applyFont="1" applyFill="1" applyBorder="1" applyAlignment="1">
      <alignment horizontal="center" vertical="center"/>
    </xf>
    <xf numFmtId="164" fontId="9" fillId="4" borderId="35" xfId="3" applyNumberFormat="1" applyFon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19" fillId="0" borderId="0" xfId="0" applyFont="1" applyAlignment="1">
      <alignment horizontal="center" vertical="top" wrapText="1"/>
    </xf>
    <xf numFmtId="0" fontId="19" fillId="0" borderId="0" xfId="0" applyFont="1" applyAlignment="1">
      <alignment horizontal="center"/>
    </xf>
    <xf numFmtId="2" fontId="34" fillId="12" borderId="0" xfId="5" applyNumberFormat="1" applyBorder="1" applyAlignment="1">
      <alignment horizontal="center"/>
    </xf>
    <xf numFmtId="0" fontId="8" fillId="9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2" fontId="29" fillId="6" borderId="0" xfId="0" applyNumberFormat="1" applyFont="1" applyFill="1" applyAlignment="1"/>
    <xf numFmtId="0" fontId="12" fillId="0" borderId="12" xfId="0" applyFont="1" applyBorder="1" applyAlignment="1">
      <alignment horizontal="left"/>
    </xf>
    <xf numFmtId="0" fontId="42" fillId="0" borderId="8" xfId="0" applyFont="1" applyBorder="1" applyAlignment="1">
      <alignment horizontal="center"/>
    </xf>
    <xf numFmtId="0" fontId="12" fillId="0" borderId="12" xfId="0" applyFont="1" applyBorder="1"/>
    <xf numFmtId="2" fontId="42" fillId="0" borderId="8" xfId="0" applyNumberFormat="1" applyFont="1" applyBorder="1" applyAlignment="1">
      <alignment horizontal="center"/>
    </xf>
    <xf numFmtId="0" fontId="0" fillId="0" borderId="13" xfId="0" applyBorder="1" applyAlignment="1">
      <alignment horizontal="left" vertical="center"/>
    </xf>
    <xf numFmtId="164" fontId="0" fillId="0" borderId="11" xfId="0" applyNumberFormat="1" applyBorder="1" applyAlignment="1">
      <alignment horizontal="center"/>
    </xf>
    <xf numFmtId="0" fontId="42" fillId="0" borderId="0" xfId="0" applyFont="1"/>
    <xf numFmtId="164" fontId="36" fillId="12" borderId="32" xfId="5" applyNumberFormat="1" applyFont="1" applyAlignment="1">
      <alignment horizontal="center"/>
    </xf>
    <xf numFmtId="166" fontId="36" fillId="12" borderId="32" xfId="5" applyNumberFormat="1" applyFont="1" applyAlignment="1">
      <alignment horizontal="center"/>
    </xf>
    <xf numFmtId="0" fontId="0" fillId="0" borderId="0" xfId="0" applyAlignment="1">
      <alignment horizontal="left" vertical="top" wrapText="1"/>
    </xf>
    <xf numFmtId="2" fontId="9" fillId="3" borderId="2" xfId="3" applyNumberFormat="1" applyFont="1" applyFill="1" applyAlignment="1">
      <alignment horizontal="center" vertical="center"/>
    </xf>
    <xf numFmtId="1" fontId="36" fillId="12" borderId="32" xfId="5" applyNumberFormat="1" applyFont="1" applyAlignment="1">
      <alignment horizontal="center"/>
    </xf>
    <xf numFmtId="167" fontId="9" fillId="3" borderId="2" xfId="3" applyNumberFormat="1" applyFont="1" applyFill="1" applyAlignment="1">
      <alignment horizontal="center" vertical="center"/>
    </xf>
    <xf numFmtId="164" fontId="42" fillId="0" borderId="0" xfId="0" applyNumberFormat="1" applyFont="1" applyAlignment="1">
      <alignment horizontal="center"/>
    </xf>
    <xf numFmtId="0" fontId="0" fillId="0" borderId="12" xfId="0" applyBorder="1"/>
    <xf numFmtId="164" fontId="42" fillId="0" borderId="0" xfId="0" applyNumberFormat="1" applyFont="1" applyBorder="1" applyAlignment="1">
      <alignment horizontal="center"/>
    </xf>
    <xf numFmtId="0" fontId="0" fillId="0" borderId="13" xfId="0" applyBorder="1"/>
    <xf numFmtId="164" fontId="42" fillId="0" borderId="10" xfId="0" applyNumberFormat="1" applyFont="1" applyBorder="1" applyAlignment="1">
      <alignment horizontal="center"/>
    </xf>
    <xf numFmtId="2" fontId="42" fillId="0" borderId="11" xfId="0" applyNumberFormat="1" applyFont="1" applyBorder="1" applyAlignment="1">
      <alignment horizontal="center"/>
    </xf>
    <xf numFmtId="0" fontId="42" fillId="0" borderId="5" xfId="0" applyFont="1" applyBorder="1"/>
    <xf numFmtId="0" fontId="42" fillId="0" borderId="6" xfId="0" applyFont="1" applyBorder="1"/>
    <xf numFmtId="0" fontId="42" fillId="0" borderId="7" xfId="0" applyFont="1" applyBorder="1"/>
    <xf numFmtId="0" fontId="42" fillId="0" borderId="12" xfId="0" applyFont="1" applyBorder="1" applyAlignment="1">
      <alignment horizontal="center"/>
    </xf>
    <xf numFmtId="0" fontId="42" fillId="0" borderId="0" xfId="0" applyFont="1" applyBorder="1" applyAlignment="1">
      <alignment horizontal="center"/>
    </xf>
    <xf numFmtId="0" fontId="42" fillId="0" borderId="8" xfId="0" applyFont="1" applyBorder="1"/>
    <xf numFmtId="164" fontId="42" fillId="0" borderId="12" xfId="0" applyNumberFormat="1" applyFont="1" applyBorder="1" applyAlignment="1">
      <alignment horizontal="center"/>
    </xf>
    <xf numFmtId="1" fontId="42" fillId="0" borderId="0" xfId="0" applyNumberFormat="1" applyFont="1" applyBorder="1" applyAlignment="1">
      <alignment horizontal="center"/>
    </xf>
    <xf numFmtId="166" fontId="42" fillId="0" borderId="8" xfId="0" applyNumberFormat="1" applyFont="1" applyBorder="1" applyAlignment="1">
      <alignment horizontal="center"/>
    </xf>
    <xf numFmtId="164" fontId="42" fillId="0" borderId="13" xfId="0" applyNumberFormat="1" applyFont="1" applyBorder="1" applyAlignment="1">
      <alignment horizontal="center"/>
    </xf>
    <xf numFmtId="1" fontId="42" fillId="0" borderId="10" xfId="0" applyNumberFormat="1" applyFont="1" applyBorder="1" applyAlignment="1">
      <alignment horizontal="center"/>
    </xf>
    <xf numFmtId="166" fontId="42" fillId="0" borderId="1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165" fontId="9" fillId="3" borderId="2" xfId="3" applyNumberFormat="1" applyFont="1" applyFill="1" applyAlignment="1">
      <alignment horizontal="center" vertical="center"/>
    </xf>
    <xf numFmtId="0" fontId="42" fillId="0" borderId="12" xfId="0" applyFont="1" applyBorder="1"/>
    <xf numFmtId="0" fontId="42" fillId="0" borderId="13" xfId="0" applyFont="1" applyBorder="1"/>
    <xf numFmtId="0" fontId="42" fillId="0" borderId="11" xfId="0" applyFont="1" applyBorder="1"/>
    <xf numFmtId="0" fontId="0" fillId="3" borderId="23" xfId="0" applyFill="1" applyBorder="1"/>
    <xf numFmtId="0" fontId="0" fillId="3" borderId="25" xfId="0" applyFill="1" applyBorder="1"/>
    <xf numFmtId="0" fontId="0" fillId="10" borderId="25" xfId="0" applyFill="1" applyBorder="1"/>
    <xf numFmtId="0" fontId="0" fillId="10" borderId="5" xfId="0" applyFill="1" applyBorder="1"/>
    <xf numFmtId="0" fontId="0" fillId="10" borderId="7" xfId="0" applyFill="1" applyBorder="1"/>
    <xf numFmtId="164" fontId="42" fillId="10" borderId="5" xfId="0" applyNumberFormat="1" applyFont="1" applyFill="1" applyBorder="1" applyAlignment="1">
      <alignment horizontal="center"/>
    </xf>
    <xf numFmtId="164" fontId="42" fillId="10" borderId="6" xfId="0" applyNumberFormat="1" applyFont="1" applyFill="1" applyBorder="1" applyAlignment="1">
      <alignment horizontal="center"/>
    </xf>
    <xf numFmtId="164" fontId="42" fillId="10" borderId="7" xfId="0" applyNumberFormat="1" applyFont="1" applyFill="1" applyBorder="1" applyAlignment="1">
      <alignment horizontal="center"/>
    </xf>
    <xf numFmtId="0" fontId="0" fillId="3" borderId="5" xfId="0" applyFill="1" applyBorder="1"/>
    <xf numFmtId="0" fontId="12" fillId="3" borderId="6" xfId="0" applyFont="1" applyFill="1" applyBorder="1" applyAlignment="1">
      <alignment horizontal="center"/>
    </xf>
    <xf numFmtId="0" fontId="12" fillId="3" borderId="7" xfId="0" applyFont="1" applyFill="1" applyBorder="1" applyAlignment="1">
      <alignment horizontal="center"/>
    </xf>
    <xf numFmtId="0" fontId="44" fillId="0" borderId="12" xfId="0" applyFon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" fontId="12" fillId="0" borderId="12" xfId="0" applyNumberFormat="1" applyFont="1" applyBorder="1" applyAlignment="1">
      <alignment horizontal="center"/>
    </xf>
    <xf numFmtId="166" fontId="44" fillId="0" borderId="0" xfId="0" applyNumberFormat="1" applyFont="1" applyBorder="1" applyAlignment="1">
      <alignment horizontal="center"/>
    </xf>
    <xf numFmtId="2" fontId="44" fillId="0" borderId="8" xfId="0" applyNumberFormat="1" applyFont="1" applyBorder="1" applyAlignment="1">
      <alignment horizontal="center"/>
    </xf>
    <xf numFmtId="0" fontId="0" fillId="0" borderId="8" xfId="0" applyBorder="1"/>
    <xf numFmtId="0" fontId="12" fillId="0" borderId="13" xfId="0" applyFont="1" applyBorder="1" applyAlignment="1">
      <alignment horizontal="center" vertical="center"/>
    </xf>
    <xf numFmtId="164" fontId="12" fillId="0" borderId="10" xfId="0" applyNumberFormat="1" applyFont="1" applyBorder="1" applyAlignment="1">
      <alignment horizontal="center"/>
    </xf>
    <xf numFmtId="0" fontId="12" fillId="0" borderId="11" xfId="0" applyFont="1" applyBorder="1"/>
    <xf numFmtId="0" fontId="42" fillId="3" borderId="23" xfId="0" applyFont="1" applyFill="1" applyBorder="1"/>
    <xf numFmtId="0" fontId="42" fillId="3" borderId="24" xfId="0" applyFont="1" applyFill="1" applyBorder="1"/>
    <xf numFmtId="0" fontId="42" fillId="3" borderId="25" xfId="0" applyFont="1" applyFill="1" applyBorder="1"/>
    <xf numFmtId="0" fontId="0" fillId="3" borderId="24" xfId="0" applyFill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0" fontId="0" fillId="0" borderId="11" xfId="0" applyBorder="1"/>
    <xf numFmtId="0" fontId="42" fillId="0" borderId="0" xfId="0" applyFont="1" applyBorder="1"/>
    <xf numFmtId="0" fontId="42" fillId="0" borderId="10" xfId="0" applyFont="1" applyBorder="1"/>
    <xf numFmtId="0" fontId="0" fillId="10" borderId="23" xfId="0" applyFill="1" applyBorder="1" applyAlignment="1">
      <alignment horizontal="left" vertical="center"/>
    </xf>
    <xf numFmtId="0" fontId="20" fillId="14" borderId="12" xfId="0" applyFont="1" applyFill="1" applyBorder="1" applyAlignment="1">
      <alignment horizontal="center" vertical="center"/>
    </xf>
    <xf numFmtId="0" fontId="0" fillId="2" borderId="2" xfId="3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/>
    <xf numFmtId="0" fontId="0" fillId="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quotePrefix="1" applyFill="1"/>
    <xf numFmtId="0" fontId="0" fillId="2" borderId="2" xfId="3" applyFont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  <xf numFmtId="1" fontId="42" fillId="0" borderId="12" xfId="0" applyNumberFormat="1" applyFont="1" applyBorder="1"/>
    <xf numFmtId="166" fontId="42" fillId="0" borderId="8" xfId="0" applyNumberFormat="1" applyFont="1" applyBorder="1"/>
    <xf numFmtId="1" fontId="42" fillId="0" borderId="13" xfId="0" applyNumberFormat="1" applyFont="1" applyBorder="1"/>
    <xf numFmtId="166" fontId="42" fillId="0" borderId="11" xfId="0" applyNumberFormat="1" applyFont="1" applyBorder="1"/>
    <xf numFmtId="0" fontId="42" fillId="10" borderId="23" xfId="0" applyFont="1" applyFill="1" applyBorder="1"/>
    <xf numFmtId="0" fontId="42" fillId="10" borderId="25" xfId="0" applyFont="1" applyFill="1" applyBorder="1"/>
    <xf numFmtId="1" fontId="9" fillId="2" borderId="2" xfId="3" applyNumberFormat="1" applyFont="1" applyAlignment="1">
      <alignment vertical="center"/>
    </xf>
    <xf numFmtId="0" fontId="50" fillId="0" borderId="8" xfId="0" applyFont="1" applyBorder="1"/>
    <xf numFmtId="165" fontId="51" fillId="3" borderId="33" xfId="3" applyNumberFormat="1" applyFont="1" applyFill="1" applyBorder="1" applyAlignment="1">
      <alignment horizontal="center" vertical="center"/>
    </xf>
    <xf numFmtId="1" fontId="51" fillId="3" borderId="33" xfId="3" applyNumberFormat="1" applyFont="1" applyFill="1" applyBorder="1" applyAlignment="1">
      <alignment horizontal="center" vertical="center"/>
    </xf>
    <xf numFmtId="167" fontId="51" fillId="3" borderId="33" xfId="3" applyNumberFormat="1" applyFont="1" applyFill="1" applyBorder="1" applyAlignment="1">
      <alignment horizontal="center" vertical="center"/>
    </xf>
    <xf numFmtId="0" fontId="8" fillId="2" borderId="2" xfId="3" applyFont="1" applyAlignment="1">
      <alignment horizontal="center"/>
    </xf>
    <xf numFmtId="0" fontId="0" fillId="3" borderId="33" xfId="0" applyFill="1" applyBorder="1" applyAlignment="1">
      <alignment horizontal="left"/>
    </xf>
    <xf numFmtId="0" fontId="42" fillId="10" borderId="33" xfId="0" applyFont="1" applyFill="1" applyBorder="1" applyAlignment="1">
      <alignment horizontal="center"/>
    </xf>
    <xf numFmtId="1" fontId="42" fillId="0" borderId="8" xfId="0" applyNumberFormat="1" applyFont="1" applyBorder="1"/>
    <xf numFmtId="1" fontId="42" fillId="0" borderId="11" xfId="0" applyNumberFormat="1" applyFont="1" applyBorder="1"/>
    <xf numFmtId="0" fontId="0" fillId="0" borderId="0" xfId="0" applyAlignment="1">
      <alignment horizontal="center"/>
    </xf>
    <xf numFmtId="0" fontId="0" fillId="0" borderId="0" xfId="0"/>
    <xf numFmtId="166" fontId="9" fillId="3" borderId="2" xfId="3" applyNumberFormat="1" applyFont="1" applyFill="1" applyAlignment="1">
      <alignment horizontal="center" vertical="center"/>
    </xf>
    <xf numFmtId="166" fontId="4" fillId="3" borderId="2" xfId="4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/>
    <xf numFmtId="0" fontId="0" fillId="10" borderId="0" xfId="0" applyFill="1" applyBorder="1"/>
    <xf numFmtId="0" fontId="42" fillId="10" borderId="0" xfId="0" applyFont="1" applyFill="1" applyBorder="1"/>
    <xf numFmtId="166" fontId="42" fillId="0" borderId="0" xfId="0" applyNumberFormat="1" applyFont="1" applyBorder="1"/>
    <xf numFmtId="0" fontId="0" fillId="0" borderId="0" xfId="0" applyAlignment="1">
      <alignment horizontal="center"/>
    </xf>
    <xf numFmtId="1" fontId="9" fillId="3" borderId="2" xfId="3" applyNumberFormat="1" applyFont="1" applyFill="1" applyAlignment="1">
      <alignment horizontal="center" vertical="center"/>
    </xf>
    <xf numFmtId="0" fontId="42" fillId="0" borderId="13" xfId="0" applyFont="1" applyBorder="1" applyAlignment="1">
      <alignment horizontal="center"/>
    </xf>
    <xf numFmtId="1" fontId="42" fillId="0" borderId="11" xfId="0" applyNumberFormat="1" applyFont="1" applyBorder="1" applyAlignment="1">
      <alignment horizontal="center"/>
    </xf>
    <xf numFmtId="168" fontId="42" fillId="0" borderId="1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Border="1" applyAlignment="1">
      <alignment horizontal="center"/>
    </xf>
    <xf numFmtId="0" fontId="36" fillId="12" borderId="32" xfId="5" applyFont="1"/>
    <xf numFmtId="0" fontId="0" fillId="0" borderId="1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/>
    <xf numFmtId="166" fontId="51" fillId="3" borderId="33" xfId="3" applyNumberFormat="1" applyFont="1" applyFill="1" applyBorder="1" applyAlignment="1">
      <alignment horizontal="center" vertical="center"/>
    </xf>
    <xf numFmtId="0" fontId="42" fillId="0" borderId="0" xfId="0" applyFont="1" applyAlignment="1"/>
    <xf numFmtId="1" fontId="29" fillId="7" borderId="2" xfId="6" applyNumberFormat="1" applyFont="1" applyFill="1" applyAlignment="1">
      <alignment horizontal="center" vertical="top"/>
    </xf>
    <xf numFmtId="1" fontId="54" fillId="7" borderId="2" xfId="6" applyNumberFormat="1" applyFont="1" applyFill="1" applyAlignment="1">
      <alignment horizontal="center" vertical="top"/>
    </xf>
    <xf numFmtId="2" fontId="29" fillId="7" borderId="2" xfId="6" applyNumberFormat="1" applyFont="1" applyFill="1" applyAlignment="1">
      <alignment horizontal="left" vertical="top" wrapText="1"/>
    </xf>
    <xf numFmtId="0" fontId="8" fillId="0" borderId="0" xfId="7"/>
    <xf numFmtId="1" fontId="9" fillId="3" borderId="2" xfId="6" applyNumberFormat="1" applyFont="1" applyFill="1" applyAlignment="1">
      <alignment horizontal="center" vertical="top" wrapText="1"/>
    </xf>
    <xf numFmtId="14" fontId="25" fillId="3" borderId="2" xfId="6" applyNumberFormat="1" applyFont="1" applyFill="1" applyAlignment="1">
      <alignment horizontal="center" vertical="top"/>
    </xf>
    <xf numFmtId="2" fontId="9" fillId="3" borderId="2" xfId="6" applyNumberFormat="1" applyFont="1" applyFill="1" applyAlignment="1">
      <alignment horizontal="left" vertical="top" wrapText="1"/>
    </xf>
    <xf numFmtId="1" fontId="9" fillId="3" borderId="2" xfId="6" applyNumberFormat="1" applyFont="1" applyFill="1" applyAlignment="1">
      <alignment horizontal="center" vertical="top"/>
    </xf>
    <xf numFmtId="14" fontId="25" fillId="3" borderId="2" xfId="6" applyNumberFormat="1" applyFont="1" applyFill="1" applyAlignment="1">
      <alignment horizontal="center" vertical="top" wrapText="1"/>
    </xf>
    <xf numFmtId="1" fontId="29" fillId="7" borderId="2" xfId="6" applyNumberFormat="1" applyFont="1" applyFill="1" applyAlignment="1">
      <alignment horizontal="left" vertical="top"/>
    </xf>
    <xf numFmtId="1" fontId="9" fillId="3" borderId="2" xfId="6" applyNumberFormat="1" applyFont="1" applyFill="1" applyAlignment="1">
      <alignment horizontal="center" vertical="center"/>
    </xf>
    <xf numFmtId="1" fontId="9" fillId="3" borderId="2" xfId="6" applyNumberFormat="1" applyFont="1" applyFill="1" applyAlignment="1">
      <alignment horizontal="left" vertical="top" wrapText="1"/>
    </xf>
    <xf numFmtId="14" fontId="9" fillId="3" borderId="2" xfId="6" applyNumberFormat="1" applyFont="1" applyFill="1" applyAlignment="1">
      <alignment horizontal="center" vertical="center" wrapText="1"/>
    </xf>
    <xf numFmtId="1" fontId="9" fillId="3" borderId="2" xfId="6" applyNumberFormat="1" applyFont="1" applyFill="1" applyAlignment="1">
      <alignment horizontal="center" vertical="center" wrapText="1"/>
    </xf>
    <xf numFmtId="14" fontId="9" fillId="3" borderId="2" xfId="6" applyNumberFormat="1" applyFont="1" applyFill="1" applyAlignment="1">
      <alignment horizontal="center" vertical="center"/>
    </xf>
    <xf numFmtId="1" fontId="0" fillId="2" borderId="2" xfId="3" applyNumberFormat="1" applyFont="1" applyAlignment="1">
      <alignment horizontal="center"/>
    </xf>
    <xf numFmtId="1" fontId="55" fillId="3" borderId="2" xfId="8" applyNumberFormat="1" applyFill="1" applyBorder="1" applyAlignment="1">
      <alignment horizontal="center" vertical="center" wrapText="1"/>
    </xf>
    <xf numFmtId="0" fontId="50" fillId="0" borderId="0" xfId="0" applyFont="1" applyFill="1" applyBorder="1"/>
    <xf numFmtId="0" fontId="0" fillId="0" borderId="0" xfId="0" applyFill="1" applyBorder="1" applyAlignment="1">
      <alignment horizontal="center"/>
    </xf>
    <xf numFmtId="166" fontId="9" fillId="4" borderId="33" xfId="3" applyNumberFormat="1" applyFont="1" applyFill="1" applyBorder="1" applyAlignment="1">
      <alignment horizontal="center"/>
    </xf>
    <xf numFmtId="166" fontId="51" fillId="3" borderId="36" xfId="3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8" xfId="0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166" fontId="36" fillId="12" borderId="41" xfId="5" applyNumberFormat="1" applyFont="1" applyBorder="1" applyAlignment="1">
      <alignment horizontal="center"/>
    </xf>
    <xf numFmtId="164" fontId="36" fillId="12" borderId="41" xfId="5" applyNumberFormat="1" applyFont="1" applyBorder="1" applyAlignment="1">
      <alignment horizontal="center"/>
    </xf>
    <xf numFmtId="0" fontId="0" fillId="0" borderId="8" xfId="0" applyBorder="1" applyAlignment="1">
      <alignment horizontal="center" vertical="center"/>
    </xf>
    <xf numFmtId="1" fontId="0" fillId="0" borderId="11" xfId="0" applyNumberFormat="1" applyBorder="1" applyAlignment="1">
      <alignment horizontal="center"/>
    </xf>
    <xf numFmtId="0" fontId="0" fillId="0" borderId="12" xfId="0" applyFill="1" applyBorder="1" applyAlignment="1">
      <alignment horizontal="center" vertical="center"/>
    </xf>
    <xf numFmtId="164" fontId="0" fillId="0" borderId="42" xfId="0" applyNumberFormat="1" applyFill="1" applyBorder="1" applyAlignment="1">
      <alignment horizontal="center"/>
    </xf>
    <xf numFmtId="0" fontId="0" fillId="13" borderId="12" xfId="0" applyFill="1" applyBorder="1" applyAlignment="1">
      <alignment horizontal="center" vertical="top" wrapText="1"/>
    </xf>
    <xf numFmtId="0" fontId="0" fillId="9" borderId="0" xfId="0" applyFill="1" applyBorder="1" applyAlignment="1">
      <alignment horizontal="center" vertical="top"/>
    </xf>
    <xf numFmtId="0" fontId="0" fillId="0" borderId="11" xfId="0" applyBorder="1" applyAlignment="1">
      <alignment horizontal="center" vertical="center"/>
    </xf>
    <xf numFmtId="1" fontId="36" fillId="0" borderId="43" xfId="5" applyNumberFormat="1" applyFont="1" applyFill="1" applyBorder="1" applyAlignment="1">
      <alignment horizontal="center"/>
    </xf>
    <xf numFmtId="0" fontId="42" fillId="0" borderId="43" xfId="0" applyFont="1" applyBorder="1" applyAlignment="1">
      <alignment horizontal="center"/>
    </xf>
    <xf numFmtId="0" fontId="0" fillId="0" borderId="0" xfId="0" quotePrefix="1" applyBorder="1" applyAlignment="1">
      <alignment horizontal="center" vertical="center"/>
    </xf>
    <xf numFmtId="2" fontId="29" fillId="6" borderId="23" xfId="0" applyNumberFormat="1" applyFont="1" applyFill="1" applyBorder="1" applyAlignment="1"/>
    <xf numFmtId="2" fontId="29" fillId="6" borderId="24" xfId="0" applyNumberFormat="1" applyFont="1" applyFill="1" applyBorder="1" applyAlignment="1"/>
    <xf numFmtId="2" fontId="29" fillId="6" borderId="25" xfId="0" applyNumberFormat="1" applyFont="1" applyFill="1" applyBorder="1" applyAlignment="1"/>
    <xf numFmtId="0" fontId="42" fillId="0" borderId="36" xfId="0" applyFont="1" applyBorder="1" applyAlignment="1">
      <alignment horizontal="center"/>
    </xf>
    <xf numFmtId="0" fontId="0" fillId="3" borderId="33" xfId="0" applyFill="1" applyBorder="1" applyAlignment="1">
      <alignment horizontal="center"/>
    </xf>
    <xf numFmtId="0" fontId="34" fillId="12" borderId="32" xfId="5" applyAlignment="1">
      <alignment horizontal="center"/>
    </xf>
    <xf numFmtId="0" fontId="0" fillId="0" borderId="0" xfId="0" applyFont="1"/>
    <xf numFmtId="0" fontId="57" fillId="0" borderId="0" xfId="0" applyFont="1"/>
    <xf numFmtId="0" fontId="19" fillId="0" borderId="5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25" xfId="0" applyFont="1" applyBorder="1" applyAlignment="1">
      <alignment horizontal="center" vertical="center"/>
    </xf>
    <xf numFmtId="0" fontId="27" fillId="0" borderId="12" xfId="0" applyFont="1" applyBorder="1" applyAlignment="1">
      <alignment horizontal="right" vertical="center" indent="1"/>
    </xf>
    <xf numFmtId="0" fontId="27" fillId="0" borderId="0" xfId="0" applyFont="1" applyBorder="1" applyAlignment="1">
      <alignment horizontal="right" vertical="center" indent="1"/>
    </xf>
    <xf numFmtId="0" fontId="27" fillId="0" borderId="18" xfId="0" applyFont="1" applyBorder="1" applyAlignment="1">
      <alignment horizontal="right" vertical="center" indent="1"/>
    </xf>
    <xf numFmtId="0" fontId="27" fillId="0" borderId="13" xfId="0" applyFont="1" applyBorder="1" applyAlignment="1">
      <alignment horizontal="right" vertical="center" indent="1"/>
    </xf>
    <xf numFmtId="0" fontId="27" fillId="0" borderId="10" xfId="0" applyFont="1" applyBorder="1" applyAlignment="1">
      <alignment horizontal="right" vertical="center" indent="1"/>
    </xf>
    <xf numFmtId="0" fontId="27" fillId="0" borderId="22" xfId="0" applyFont="1" applyBorder="1" applyAlignment="1">
      <alignment horizontal="right" vertical="center" indent="1"/>
    </xf>
    <xf numFmtId="0" fontId="27" fillId="0" borderId="28" xfId="0" applyFont="1" applyBorder="1" applyAlignment="1">
      <alignment horizontal="right" vertical="center" indent="1"/>
    </xf>
    <xf numFmtId="0" fontId="27" fillId="0" borderId="27" xfId="0" applyFont="1" applyBorder="1" applyAlignment="1">
      <alignment horizontal="right" vertical="center" indent="1"/>
    </xf>
    <xf numFmtId="0" fontId="27" fillId="0" borderId="30" xfId="0" applyFont="1" applyBorder="1" applyAlignment="1">
      <alignment horizontal="right" vertical="center" indent="1"/>
    </xf>
    <xf numFmtId="14" fontId="8" fillId="0" borderId="13" xfId="0" applyNumberFormat="1" applyFont="1" applyBorder="1" applyAlignment="1">
      <alignment horizontal="right" vertical="center" indent="1" shrinkToFit="1"/>
    </xf>
    <xf numFmtId="14" fontId="8" fillId="0" borderId="10" xfId="0" applyNumberFormat="1" applyFont="1" applyBorder="1" applyAlignment="1">
      <alignment horizontal="right" vertical="center" indent="1" shrinkToFit="1"/>
    </xf>
    <xf numFmtId="14" fontId="8" fillId="0" borderId="22" xfId="0" applyNumberFormat="1" applyFont="1" applyBorder="1" applyAlignment="1">
      <alignment horizontal="right" vertical="center" indent="1" shrinkToFit="1"/>
    </xf>
    <xf numFmtId="0" fontId="22" fillId="0" borderId="28" xfId="0" applyFont="1" applyBorder="1" applyAlignment="1">
      <alignment horizontal="center" vertical="center" shrinkToFit="1"/>
    </xf>
    <xf numFmtId="0" fontId="22" fillId="0" borderId="29" xfId="0" applyFont="1" applyBorder="1" applyAlignment="1">
      <alignment horizontal="center" vertical="center" shrinkToFit="1"/>
    </xf>
    <xf numFmtId="14" fontId="22" fillId="0" borderId="27" xfId="0" applyNumberFormat="1" applyFont="1" applyBorder="1" applyAlignment="1">
      <alignment horizontal="center" vertical="center"/>
    </xf>
    <xf numFmtId="14" fontId="22" fillId="0" borderId="29" xfId="0" applyNumberFormat="1" applyFont="1" applyBorder="1" applyAlignment="1">
      <alignment horizontal="center" vertical="center"/>
    </xf>
    <xf numFmtId="14" fontId="28" fillId="0" borderId="27" xfId="0" applyNumberFormat="1" applyFont="1" applyBorder="1" applyAlignment="1">
      <alignment horizontal="center" vertical="center"/>
    </xf>
    <xf numFmtId="14" fontId="28" fillId="0" borderId="29" xfId="0" applyNumberFormat="1" applyFont="1" applyBorder="1" applyAlignment="1">
      <alignment horizontal="center" vertical="center"/>
    </xf>
    <xf numFmtId="0" fontId="27" fillId="0" borderId="21" xfId="0" applyFont="1" applyBorder="1" applyAlignment="1">
      <alignment horizontal="left" vertical="center" shrinkToFit="1"/>
    </xf>
    <xf numFmtId="0" fontId="27" fillId="0" borderId="10" xfId="0" applyFont="1" applyBorder="1" applyAlignment="1">
      <alignment horizontal="left" vertical="center" shrinkToFit="1"/>
    </xf>
    <xf numFmtId="0" fontId="22" fillId="0" borderId="21" xfId="0" applyFont="1" applyBorder="1" applyAlignment="1">
      <alignment horizontal="left" vertical="center"/>
    </xf>
    <xf numFmtId="0" fontId="22" fillId="0" borderId="10" xfId="0" applyFont="1" applyBorder="1" applyAlignment="1">
      <alignment horizontal="left" vertical="center"/>
    </xf>
    <xf numFmtId="14" fontId="22" fillId="0" borderId="13" xfId="0" applyNumberFormat="1" applyFont="1" applyBorder="1" applyAlignment="1">
      <alignment horizontal="center" vertical="center"/>
    </xf>
    <xf numFmtId="14" fontId="22" fillId="0" borderId="11" xfId="0" applyNumberFormat="1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14" fontId="22" fillId="0" borderId="10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3" borderId="38" xfId="0" applyFont="1" applyFill="1" applyBorder="1" applyAlignment="1">
      <alignment horizontal="left" vertical="center"/>
    </xf>
    <xf numFmtId="0" fontId="9" fillId="3" borderId="39" xfId="0" applyFont="1" applyFill="1" applyBorder="1" applyAlignment="1">
      <alignment horizontal="left" vertical="center"/>
    </xf>
    <xf numFmtId="0" fontId="9" fillId="3" borderId="40" xfId="0" applyFont="1" applyFill="1" applyBorder="1" applyAlignment="1">
      <alignment horizontal="left" vertical="center"/>
    </xf>
    <xf numFmtId="2" fontId="19" fillId="4" borderId="23" xfId="0" applyNumberFormat="1" applyFont="1" applyFill="1" applyBorder="1" applyAlignment="1">
      <alignment horizontal="center"/>
    </xf>
    <xf numFmtId="2" fontId="19" fillId="4" borderId="24" xfId="0" applyNumberFormat="1" applyFont="1" applyFill="1" applyBorder="1" applyAlignment="1">
      <alignment horizontal="center"/>
    </xf>
    <xf numFmtId="2" fontId="19" fillId="4" borderId="25" xfId="0" applyNumberFormat="1" applyFont="1" applyFill="1" applyBorder="1" applyAlignment="1">
      <alignment horizontal="center"/>
    </xf>
    <xf numFmtId="2" fontId="19" fillId="8" borderId="23" xfId="0" applyNumberFormat="1" applyFont="1" applyFill="1" applyBorder="1" applyAlignment="1">
      <alignment horizontal="center"/>
    </xf>
    <xf numFmtId="2" fontId="19" fillId="8" borderId="24" xfId="0" applyNumberFormat="1" applyFont="1" applyFill="1" applyBorder="1" applyAlignment="1">
      <alignment horizontal="center"/>
    </xf>
    <xf numFmtId="2" fontId="19" fillId="8" borderId="25" xfId="0" applyNumberFormat="1" applyFont="1" applyFill="1" applyBorder="1" applyAlignment="1">
      <alignment horizontal="center"/>
    </xf>
    <xf numFmtId="2" fontId="29" fillId="6" borderId="23" xfId="0" applyNumberFormat="1" applyFont="1" applyFill="1" applyBorder="1" applyAlignment="1">
      <alignment horizontal="center"/>
    </xf>
    <xf numFmtId="2" fontId="29" fillId="6" borderId="24" xfId="0" applyNumberFormat="1" applyFont="1" applyFill="1" applyBorder="1" applyAlignment="1">
      <alignment horizontal="center"/>
    </xf>
    <xf numFmtId="2" fontId="29" fillId="6" borderId="25" xfId="0" applyNumberFormat="1" applyFont="1" applyFill="1" applyBorder="1" applyAlignment="1">
      <alignment horizontal="center"/>
    </xf>
    <xf numFmtId="0" fontId="0" fillId="3" borderId="0" xfId="0" applyFill="1" applyBorder="1" applyAlignment="1">
      <alignment horizontal="center" vertical="center"/>
    </xf>
    <xf numFmtId="0" fontId="0" fillId="3" borderId="6" xfId="0" applyFill="1" applyBorder="1" applyAlignment="1">
      <alignment horizontal="left"/>
    </xf>
    <xf numFmtId="0" fontId="20" fillId="7" borderId="0" xfId="0" applyFont="1" applyFill="1" applyAlignment="1">
      <alignment horizontal="center"/>
    </xf>
    <xf numFmtId="0" fontId="49" fillId="15" borderId="12" xfId="0" applyFont="1" applyFill="1" applyBorder="1" applyAlignment="1">
      <alignment horizontal="center" vertical="center"/>
    </xf>
    <xf numFmtId="0" fontId="49" fillId="15" borderId="0" xfId="0" applyFont="1" applyFill="1" applyBorder="1" applyAlignment="1">
      <alignment horizontal="center" vertical="center"/>
    </xf>
    <xf numFmtId="0" fontId="49" fillId="15" borderId="8" xfId="0" applyFont="1" applyFill="1" applyBorder="1" applyAlignment="1">
      <alignment horizontal="center" vertical="center"/>
    </xf>
    <xf numFmtId="2" fontId="29" fillId="6" borderId="0" xfId="0" applyNumberFormat="1" applyFont="1" applyFill="1" applyAlignment="1">
      <alignment horizontal="center" vertical="center"/>
    </xf>
    <xf numFmtId="2" fontId="29" fillId="6" borderId="8" xfId="0" applyNumberFormat="1" applyFont="1" applyFill="1" applyBorder="1" applyAlignment="1">
      <alignment horizontal="center" vertical="center"/>
    </xf>
    <xf numFmtId="0" fontId="0" fillId="0" borderId="0" xfId="0" applyAlignment="1"/>
    <xf numFmtId="0" fontId="0" fillId="0" borderId="37" xfId="0" applyBorder="1" applyAlignment="1"/>
    <xf numFmtId="0" fontId="0" fillId="0" borderId="0" xfId="0" quotePrefix="1" applyAlignment="1"/>
    <xf numFmtId="0" fontId="0" fillId="24" borderId="0" xfId="0" applyFill="1" applyBorder="1"/>
    <xf numFmtId="0" fontId="0" fillId="24" borderId="8" xfId="0" applyFill="1" applyBorder="1"/>
    <xf numFmtId="0" fontId="0" fillId="25" borderId="0" xfId="0" applyFill="1" applyBorder="1"/>
    <xf numFmtId="0" fontId="0" fillId="25" borderId="8" xfId="0" applyFill="1" applyBorder="1"/>
    <xf numFmtId="0" fontId="0" fillId="19" borderId="0" xfId="0" applyFill="1" applyBorder="1"/>
    <xf numFmtId="0" fontId="0" fillId="19" borderId="8" xfId="0" applyFill="1" applyBorder="1"/>
    <xf numFmtId="0" fontId="0" fillId="20" borderId="0" xfId="0" applyFill="1" applyBorder="1"/>
    <xf numFmtId="0" fontId="0" fillId="20" borderId="8" xfId="0" applyFill="1" applyBorder="1"/>
    <xf numFmtId="0" fontId="0" fillId="21" borderId="0" xfId="0" applyFill="1" applyBorder="1"/>
    <xf numFmtId="0" fontId="0" fillId="21" borderId="8" xfId="0" applyFill="1" applyBorder="1"/>
    <xf numFmtId="0" fontId="0" fillId="22" borderId="0" xfId="0" applyFill="1" applyBorder="1"/>
    <xf numFmtId="0" fontId="0" fillId="22" borderId="8" xfId="0" applyFill="1" applyBorder="1"/>
    <xf numFmtId="0" fontId="0" fillId="23" borderId="0" xfId="0" applyFill="1" applyBorder="1"/>
    <xf numFmtId="0" fontId="0" fillId="23" borderId="8" xfId="0" applyFill="1" applyBorder="1"/>
    <xf numFmtId="0" fontId="0" fillId="26" borderId="0" xfId="0" quotePrefix="1" applyFill="1" applyBorder="1"/>
    <xf numFmtId="0" fontId="0" fillId="26" borderId="8" xfId="0" quotePrefix="1" applyFill="1" applyBorder="1"/>
    <xf numFmtId="0" fontId="0" fillId="5" borderId="0" xfId="0" applyFill="1" applyBorder="1"/>
    <xf numFmtId="0" fontId="0" fillId="5" borderId="8" xfId="0" applyFill="1" applyBorder="1"/>
    <xf numFmtId="0" fontId="0" fillId="16" borderId="0" xfId="0" applyFill="1" applyBorder="1"/>
    <xf numFmtId="0" fontId="0" fillId="16" borderId="8" xfId="0" applyFill="1" applyBorder="1"/>
    <xf numFmtId="0" fontId="0" fillId="17" borderId="0" xfId="0" applyFill="1" applyBorder="1"/>
    <xf numFmtId="0" fontId="0" fillId="17" borderId="8" xfId="0" applyFill="1" applyBorder="1"/>
    <xf numFmtId="0" fontId="0" fillId="18" borderId="0" xfId="0" applyFill="1" applyBorder="1"/>
    <xf numFmtId="0" fontId="0" fillId="18" borderId="8" xfId="0" applyFill="1" applyBorder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0" borderId="0" xfId="0"/>
    <xf numFmtId="0" fontId="0" fillId="0" borderId="37" xfId="0" applyBorder="1"/>
    <xf numFmtId="0" fontId="0" fillId="0" borderId="0" xfId="0" quotePrefix="1"/>
    <xf numFmtId="0" fontId="0" fillId="26" borderId="0" xfId="0" quotePrefix="1" applyFill="1"/>
    <xf numFmtId="0" fontId="0" fillId="5" borderId="0" xfId="0" applyFill="1"/>
    <xf numFmtId="0" fontId="0" fillId="16" borderId="0" xfId="0" applyFill="1"/>
    <xf numFmtId="0" fontId="49" fillId="15" borderId="0" xfId="0" applyFont="1" applyFill="1" applyAlignment="1">
      <alignment horizontal="center" vertical="center"/>
    </xf>
  </cellXfs>
  <cellStyles count="9">
    <cellStyle name="Explanatory Text" xfId="4" builtinId="53"/>
    <cellStyle name="Heading 1" xfId="1" builtinId="16"/>
    <cellStyle name="Heading 4" xfId="2" builtinId="19"/>
    <cellStyle name="Hyperlink" xfId="8" builtinId="8"/>
    <cellStyle name="Normal" xfId="0" builtinId="0"/>
    <cellStyle name="Normal 2" xfId="7" xr:uid="{56C14BC2-1BFE-4F6F-A10B-A3439885C1C7}"/>
    <cellStyle name="Note" xfId="3" builtinId="10"/>
    <cellStyle name="Note 2" xfId="6" xr:uid="{29E3B90D-FA7F-45E2-83CC-7FE9392F59A9}"/>
    <cellStyle name="Output" xfId="5" builtinId="21"/>
  </cellStyles>
  <dxfs count="5">
    <dxf>
      <fill>
        <patternFill>
          <bgColor rgb="FFFFCCCC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ED1C2E"/>
      <color rgb="FF008EC2"/>
      <color rgb="FF5DB82E"/>
      <color rgb="FFCCFFFF"/>
      <color rgb="FFFFCCCC"/>
      <color rgb="FF787878"/>
      <color rgb="FF3C3C3C"/>
      <color rgb="FF007832"/>
      <color rgb="FF0A9664"/>
      <color rgb="FF50B4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8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chartUserShapes" Target="../drawings/drawing5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/Relationships>
</file>

<file path=xl/charts/_rels/char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8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43951984167919"/>
          <c:y val="8.0261903745503058E-2"/>
          <c:w val="0.85393651121120773"/>
          <c:h val="0.9035764828974383"/>
        </c:manualLayout>
      </c:layout>
      <c:scatterChart>
        <c:scatterStyle val="lineMarker"/>
        <c:varyColors val="0"/>
        <c:ser>
          <c:idx val="2"/>
          <c:order val="0"/>
          <c:tx>
            <c:strRef>
              <c:f>Calculations!$AF$17</c:f>
              <c:strCache>
                <c:ptCount val="1"/>
                <c:pt idx="0">
                  <c:v>uh</c:v>
                </c:pt>
              </c:strCache>
            </c:strRef>
          </c:tx>
          <c:spPr>
            <a:ln w="19050" cap="rnd">
              <a:solidFill>
                <a:srgbClr val="008EC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Calculations!$AF$20:$AF$10000</c:f>
              <c:numCache>
                <c:formatCode>0.0</c:formatCode>
                <c:ptCount val="9981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88-4BB0-BDE9-7567615811BB}"/>
            </c:ext>
          </c:extLst>
        </c:ser>
        <c:ser>
          <c:idx val="3"/>
          <c:order val="1"/>
          <c:tx>
            <c:strRef>
              <c:f>Calculations!$AG$17</c:f>
              <c:strCache>
                <c:ptCount val="1"/>
                <c:pt idx="0">
                  <c:v>u0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Calculations!$AG$20:$AG$10000</c:f>
              <c:numCache>
                <c:formatCode>0.0</c:formatCode>
                <c:ptCount val="9981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88-4BB0-BDE9-7567615811BB}"/>
            </c:ext>
          </c:extLst>
        </c:ser>
        <c:ser>
          <c:idx val="1"/>
          <c:order val="2"/>
          <c:tx>
            <c:strRef>
              <c:f>Calculations!$AH$17</c:f>
              <c:strCache>
                <c:ptCount val="1"/>
                <c:pt idx="0">
                  <c:v>σ'v0</c:v>
                </c:pt>
              </c:strCache>
            </c:strRef>
          </c:tx>
          <c:spPr>
            <a:ln w="19050" cap="rnd">
              <a:solidFill>
                <a:srgbClr val="5DB82E"/>
              </a:solidFill>
              <a:round/>
            </a:ln>
            <a:effectLst/>
          </c:spPr>
          <c:marker>
            <c:symbol val="none"/>
          </c:marker>
          <c:xVal>
            <c:numRef>
              <c:f>Calculations!$AH$20:$AH$10000</c:f>
              <c:numCache>
                <c:formatCode>0.0</c:formatCode>
                <c:ptCount val="9981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88-4BB0-BDE9-7567615811BB}"/>
            </c:ext>
          </c:extLst>
        </c:ser>
        <c:ser>
          <c:idx val="0"/>
          <c:order val="3"/>
          <c:tx>
            <c:strRef>
              <c:f>Calculations!$AE$17</c:f>
              <c:strCache>
                <c:ptCount val="1"/>
                <c:pt idx="0">
                  <c:v>σv0</c:v>
                </c:pt>
              </c:strCache>
            </c:strRef>
          </c:tx>
          <c:spPr>
            <a:ln w="19050" cap="rnd">
              <a:solidFill>
                <a:srgbClr val="ED1C2E"/>
              </a:solidFill>
              <a:round/>
            </a:ln>
            <a:effectLst/>
          </c:spPr>
          <c:marker>
            <c:symbol val="none"/>
          </c:marker>
          <c:xVal>
            <c:numRef>
              <c:f>Calculations!$AE$20:$AE$10000</c:f>
              <c:numCache>
                <c:formatCode>0.0</c:formatCode>
                <c:ptCount val="9981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88-4BB0-BDE9-7567615811BB}"/>
            </c:ext>
          </c:extLst>
        </c:ser>
        <c:ser>
          <c:idx val="4"/>
          <c:order val="4"/>
          <c:tx>
            <c:strRef>
              <c:f>'1.Stresses'!$Q$3</c:f>
              <c:strCache>
                <c:ptCount val="1"/>
                <c:pt idx="0">
                  <c:v>Pore pressure, u0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'1.Stresses'!$Q$5:$Q$52</c:f>
              <c:numCache>
                <c:formatCode>0.0</c:formatCode>
                <c:ptCount val="48"/>
                <c:pt idx="0">
                  <c:v>0</c:v>
                </c:pt>
              </c:numCache>
            </c:numRef>
          </c:xVal>
          <c:yVal>
            <c:numRef>
              <c:f>'1.Stresses'!$P$5:$P$52</c:f>
              <c:numCache>
                <c:formatCode>0.00</c:formatCode>
                <c:ptCount val="4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88-4BB0-BDE9-7567615811BB}"/>
            </c:ext>
          </c:extLst>
        </c:ser>
        <c:ser>
          <c:idx val="5"/>
          <c:order val="5"/>
          <c:tx>
            <c:strRef>
              <c:f>Calculations!$AC$8</c:f>
              <c:strCache>
                <c:ptCount val="1"/>
                <c:pt idx="0">
                  <c:v>GWL</c:v>
                </c:pt>
              </c:strCache>
            </c:strRef>
          </c:tx>
          <c:spPr>
            <a:ln w="19050" cap="rnd">
              <a:solidFill>
                <a:srgbClr val="008EC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Calculations!$AD$9:$AD$10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Calculations!$AE$9:$AE$10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9A-47D3-9AAF-B25BC12FACA8}"/>
            </c:ext>
          </c:extLst>
        </c:ser>
        <c:ser>
          <c:idx val="6"/>
          <c:order val="6"/>
          <c:tx>
            <c:strRef>
              <c:f>Calculations!$J$7</c:f>
              <c:strCache>
                <c:ptCount val="1"/>
                <c:pt idx="0">
                  <c:v>Show depth to at least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xVal>
            <c:numRef>
              <c:f>Calculations!$J$9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Calculations!$K$9</c:f>
              <c:numCache>
                <c:formatCode>0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47-4E1A-AAFC-35C77CC67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61103"/>
        <c:axId val="1156405279"/>
      </c:scatterChart>
      <c:valAx>
        <c:axId val="270861103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nb-NO" sz="1200" b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cs typeface="Lucida Sans Unicode" panose="020B0602030504020204" pitchFamily="34" charset="0"/>
                  </a:rPr>
                  <a:t>u</a:t>
                </a:r>
                <a:r>
                  <a:rPr lang="nb-NO" sz="1200" b="0" baseline="-2500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cs typeface="Lucida Sans Unicode" panose="020B0602030504020204" pitchFamily="34" charset="0"/>
                  </a:rPr>
                  <a:t>0</a:t>
                </a:r>
                <a:r>
                  <a:rPr lang="nb-NO" sz="1200" b="0">
                    <a:latin typeface="Lucida Sans Unicode" panose="020B0602030504020204" pitchFamily="34" charset="0"/>
                    <a:cs typeface="Lucida Sans Unicode" panose="020B0602030504020204" pitchFamily="34" charset="0"/>
                  </a:rPr>
                  <a:t>, </a:t>
                </a:r>
                <a:r>
                  <a:rPr lang="nb-NO" sz="1200" b="0">
                    <a:solidFill>
                      <a:srgbClr val="008EC2"/>
                    </a:solidFill>
                    <a:latin typeface="Lucida Sans Unicode" panose="020B0602030504020204" pitchFamily="34" charset="0"/>
                    <a:cs typeface="Lucida Sans Unicode" panose="020B0602030504020204" pitchFamily="34" charset="0"/>
                  </a:rPr>
                  <a:t>GWL</a:t>
                </a:r>
                <a:r>
                  <a:rPr lang="nb-NO" sz="1200" b="0">
                    <a:latin typeface="Lucida Sans Unicode" panose="020B0602030504020204" pitchFamily="34" charset="0"/>
                    <a:cs typeface="Lucida Sans Unicode" panose="020B0602030504020204" pitchFamily="34" charset="0"/>
                  </a:rPr>
                  <a:t>, </a:t>
                </a:r>
                <a:r>
                  <a:rPr lang="nb-NO" sz="1200" b="0">
                    <a:solidFill>
                      <a:srgbClr val="008EC2"/>
                    </a:solidFill>
                    <a:latin typeface="Lucida Sans Unicode" panose="020B0602030504020204" pitchFamily="34" charset="0"/>
                    <a:cs typeface="Lucida Sans Unicode" panose="020B0602030504020204" pitchFamily="34" charset="0"/>
                  </a:rPr>
                  <a:t>u</a:t>
                </a:r>
                <a:r>
                  <a:rPr lang="nb-NO" sz="1200" b="0" baseline="-25000">
                    <a:solidFill>
                      <a:srgbClr val="008EC2"/>
                    </a:solidFill>
                    <a:latin typeface="Lucida Sans Unicode" panose="020B0602030504020204" pitchFamily="34" charset="0"/>
                    <a:cs typeface="Lucida Sans Unicode" panose="020B0602030504020204" pitchFamily="34" charset="0"/>
                  </a:rPr>
                  <a:t>hydrostatic</a:t>
                </a:r>
                <a:r>
                  <a:rPr lang="nb-NO" sz="1200" b="0">
                    <a:latin typeface="Lucida Sans Unicode" panose="020B0602030504020204" pitchFamily="34" charset="0"/>
                    <a:cs typeface="Lucida Sans Unicode" panose="020B0602030504020204" pitchFamily="34" charset="0"/>
                  </a:rPr>
                  <a:t>, </a:t>
                </a:r>
                <a:r>
                  <a:rPr lang="el-GR" sz="1200" b="0">
                    <a:solidFill>
                      <a:srgbClr val="ED1C2E"/>
                    </a:solidFill>
                    <a:latin typeface="Lucida Sans Unicode" panose="020B0602030504020204" pitchFamily="34" charset="0"/>
                    <a:cs typeface="Lucida Sans Unicode" panose="020B0602030504020204" pitchFamily="34" charset="0"/>
                  </a:rPr>
                  <a:t>σ</a:t>
                </a:r>
                <a:r>
                  <a:rPr lang="nb-NO" sz="1200" b="0" baseline="-25000">
                    <a:solidFill>
                      <a:srgbClr val="ED1C2E"/>
                    </a:solidFill>
                    <a:latin typeface="Lucida Sans Unicode" panose="020B0602030504020204" pitchFamily="34" charset="0"/>
                    <a:cs typeface="Lucida Sans Unicode" panose="020B0602030504020204" pitchFamily="34" charset="0"/>
                  </a:rPr>
                  <a:t>v0</a:t>
                </a:r>
                <a:r>
                  <a:rPr lang="nb-NO" sz="1200" b="0">
                    <a:latin typeface="Lucida Sans Unicode" panose="020B0602030504020204" pitchFamily="34" charset="0"/>
                    <a:cs typeface="Lucida Sans Unicode" panose="020B0602030504020204" pitchFamily="34" charset="0"/>
                  </a:rPr>
                  <a:t>, </a:t>
                </a:r>
                <a:r>
                  <a:rPr lang="el-GR" sz="1200" b="0">
                    <a:solidFill>
                      <a:srgbClr val="5DB82E"/>
                    </a:solidFill>
                    <a:latin typeface="Lucida Sans Unicode" panose="020B0602030504020204" pitchFamily="34" charset="0"/>
                    <a:cs typeface="Lucida Sans Unicode" panose="020B0602030504020204" pitchFamily="34" charset="0"/>
                  </a:rPr>
                  <a:t>σ</a:t>
                </a:r>
                <a:r>
                  <a:rPr lang="nb-NO" sz="1200" b="0">
                    <a:solidFill>
                      <a:srgbClr val="5DB82E"/>
                    </a:solidFill>
                    <a:latin typeface="Lucida Sans Unicode" panose="020B0602030504020204" pitchFamily="34" charset="0"/>
                    <a:cs typeface="Lucida Sans Unicode" panose="020B0602030504020204" pitchFamily="34" charset="0"/>
                  </a:rPr>
                  <a:t>'</a:t>
                </a:r>
                <a:r>
                  <a:rPr lang="nb-NO" sz="1200" b="0" baseline="-25000">
                    <a:solidFill>
                      <a:srgbClr val="5DB82E"/>
                    </a:solidFill>
                    <a:latin typeface="Lucida Sans Unicode" panose="020B0602030504020204" pitchFamily="34" charset="0"/>
                    <a:cs typeface="Lucida Sans Unicode" panose="020B0602030504020204" pitchFamily="34" charset="0"/>
                  </a:rPr>
                  <a:t>v0</a:t>
                </a:r>
                <a:r>
                  <a:rPr lang="nb-NO" sz="1200" b="0" baseline="0">
                    <a:solidFill>
                      <a:srgbClr val="5DB82E"/>
                    </a:solidFill>
                    <a:latin typeface="Lucida Sans Unicode" panose="020B0602030504020204" pitchFamily="34" charset="0"/>
                    <a:cs typeface="Lucida Sans Unicode" panose="020B0602030504020204" pitchFamily="34" charset="0"/>
                  </a:rPr>
                  <a:t>   </a:t>
                </a:r>
                <a:r>
                  <a:rPr lang="nb-NO" sz="1200" b="0" baseline="0">
                    <a:latin typeface="Lucida Sans Unicode" panose="020B0602030504020204" pitchFamily="34" charset="0"/>
                    <a:cs typeface="Lucida Sans Unicode" panose="020B0602030504020204" pitchFamily="34" charset="0"/>
                  </a:rPr>
                  <a:t>(kPa)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nb-NO"/>
            </a:p>
          </c:txPr>
        </c:title>
        <c:numFmt formatCode="#,##0" sourceLinked="0"/>
        <c:majorTickMark val="none"/>
        <c:minorTickMark val="in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nb-NO"/>
          </a:p>
        </c:txPr>
        <c:crossAx val="1156405279"/>
        <c:crosses val="autoZero"/>
        <c:crossBetween val="midCat"/>
      </c:valAx>
      <c:valAx>
        <c:axId val="1156405279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Calculations!$H$8</c:f>
              <c:strCache>
                <c:ptCount val="1"/>
                <c:pt idx="0">
                  <c:v>Depth (m)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nb-NO"/>
            </a:p>
          </c:tx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nb-NO"/>
          </a:p>
        </c:txPr>
        <c:crossAx val="270861103"/>
        <c:crosses val="autoZero"/>
        <c:crossBetween val="midCat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28698294405982"/>
          <c:y val="0.11767444930118745"/>
          <c:w val="0.81535661529901782"/>
          <c:h val="0.8539567563725714"/>
        </c:manualLayout>
      </c:layout>
      <c:scatterChart>
        <c:scatterStyle val="lineMarker"/>
        <c:varyColors val="0"/>
        <c:ser>
          <c:idx val="0"/>
          <c:order val="0"/>
          <c:tx>
            <c:v>user input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'1.Stresses'!$U$5:$U$52</c:f>
              <c:numCache>
                <c:formatCode>0.0</c:formatCode>
                <c:ptCount val="48"/>
                <c:pt idx="0">
                  <c:v>17</c:v>
                </c:pt>
              </c:numCache>
            </c:numRef>
          </c:xVal>
          <c:yVal>
            <c:numRef>
              <c:f>'1.Stresses'!$T$5:$T$52</c:f>
              <c:numCache>
                <c:formatCode>0.00</c:formatCode>
                <c:ptCount val="4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71-4A1B-910B-48044CAED0E8}"/>
            </c:ext>
          </c:extLst>
        </c:ser>
        <c:ser>
          <c:idx val="1"/>
          <c:order val="1"/>
          <c:tx>
            <c:v>calculations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Calculations!$AC$20:$AC$10000</c:f>
              <c:numCache>
                <c:formatCode>0.0</c:formatCode>
                <c:ptCount val="9981"/>
                <c:pt idx="0">
                  <c:v>17</c:v>
                </c:pt>
                <c:pt idx="1">
                  <c:v>17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71-4A1B-910B-48044CAED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61103"/>
        <c:axId val="1156405279"/>
      </c:scatterChart>
      <c:valAx>
        <c:axId val="270861103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 sz="1100"/>
                  <a:t>Soil unit weight, </a:t>
                </a:r>
                <a:r>
                  <a:rPr lang="el-GR" sz="11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γ</a:t>
                </a:r>
                <a:r>
                  <a:rPr lang="nb-NO" sz="11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 </a:t>
                </a:r>
                <a:r>
                  <a:rPr lang="nb-NO" sz="1100"/>
                  <a:t>(kN/m</a:t>
                </a:r>
                <a:r>
                  <a:rPr lang="nb-NO" sz="1100" baseline="30000"/>
                  <a:t>3</a:t>
                </a:r>
                <a:r>
                  <a:rPr lang="nb-NO" sz="1100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156405279"/>
        <c:crosses val="autoZero"/>
        <c:crossBetween val="midCat"/>
      </c:valAx>
      <c:valAx>
        <c:axId val="1156405279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Calculations!$H$8</c:f>
              <c:strCache>
                <c:ptCount val="1"/>
                <c:pt idx="0">
                  <c:v>Depth (m)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708611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58864543783971"/>
          <c:y val="0.86653731146275959"/>
          <c:w val="0.25865016907048455"/>
          <c:h val="8.7041228163694251E-2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718385342570198E-2"/>
          <c:y val="4.5000201875556964E-2"/>
          <c:w val="0.47335176077317304"/>
          <c:h val="0.83742242776440357"/>
        </c:manualLayout>
      </c:layout>
      <c:scatterChart>
        <c:scatterStyle val="lineMarker"/>
        <c:varyColors val="0"/>
        <c:ser>
          <c:idx val="1"/>
          <c:order val="0"/>
          <c:tx>
            <c:strRef>
              <c:f>Calculations!$T$17</c:f>
              <c:strCache>
                <c:ptCount val="1"/>
                <c:pt idx="0">
                  <c:v>FDT</c:v>
                </c:pt>
              </c:strCache>
            </c:strRef>
          </c:tx>
          <c:spPr>
            <a:ln w="19050" cap="rnd">
              <a:solidFill>
                <a:srgbClr val="ED1C2E"/>
              </a:solidFill>
              <a:round/>
            </a:ln>
            <a:effectLst/>
          </c:spPr>
          <c:marker>
            <c:symbol val="none"/>
          </c:marker>
          <c:xVal>
            <c:numRef>
              <c:f>Calculations!$T$20:$T$10000</c:f>
              <c:numCache>
                <c:formatCode>0.0</c:formatCode>
                <c:ptCount val="9981"/>
                <c:pt idx="0">
                  <c:v>1E-3</c:v>
                </c:pt>
                <c:pt idx="1">
                  <c:v>1E-3</c:v>
                </c:pt>
              </c:numCache>
            </c:numRef>
          </c:xVal>
          <c:yVal>
            <c:numRef>
              <c:f>Calculations!$R$20:$R$10000</c:f>
              <c:numCache>
                <c:formatCode>0.000</c:formatCode>
                <c:ptCount val="9981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06-4F20-8A63-72D3EEB10419}"/>
            </c:ext>
          </c:extLst>
        </c:ser>
        <c:ser>
          <c:idx val="0"/>
          <c:order val="1"/>
          <c:tx>
            <c:strRef>
              <c:f>Calculations!$J$7</c:f>
              <c:strCache>
                <c:ptCount val="1"/>
                <c:pt idx="0">
                  <c:v>Show depth to at least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xVal>
            <c:numRef>
              <c:f>Calculations!$J$9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Calculations!$K$9</c:f>
              <c:numCache>
                <c:formatCode>0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F5-4422-8150-F7028F161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61103"/>
        <c:axId val="1156405279"/>
      </c:scatterChart>
      <c:valAx>
        <c:axId val="270861103"/>
        <c:scaling>
          <c:orientation val="minMax"/>
          <c:max val="10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ED1C2E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nb-NO" sz="1200">
                    <a:solidFill>
                      <a:srgbClr val="ED1C2E"/>
                    </a:solidFill>
                    <a:latin typeface="Lucida Sans Unicode" panose="020B0602030504020204" pitchFamily="34" charset="0"/>
                    <a:cs typeface="Lucida Sans Unicode" panose="020B0602030504020204" pitchFamily="34" charset="0"/>
                  </a:rPr>
                  <a:t>Feed force (kN)</a:t>
                </a:r>
              </a:p>
            </c:rich>
          </c:tx>
          <c:layout>
            <c:manualLayout>
              <c:xMode val="edge"/>
              <c:yMode val="edge"/>
              <c:x val="0.24781129448729561"/>
              <c:y val="0.92871988106348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rgbClr val="ED1C2E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nb-NO"/>
            </a:p>
          </c:txPr>
        </c:title>
        <c:numFmt formatCode="#,##0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ED1C2E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nb-NO"/>
          </a:p>
        </c:txPr>
        <c:crossAx val="1156405279"/>
        <c:crosses val="autoZero"/>
        <c:crossBetween val="midCat"/>
        <c:majorUnit val="5"/>
      </c:valAx>
      <c:valAx>
        <c:axId val="1156405279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nb-NO"/>
          </a:p>
        </c:txPr>
        <c:crossAx val="270861103"/>
        <c:crosses val="autoZero"/>
        <c:crossBetween val="midCat"/>
      </c:valAx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85868196406818"/>
          <c:y val="4.5000201875556964E-2"/>
          <c:w val="0.79266050071192362"/>
          <c:h val="0.83742242776440357"/>
        </c:manualLayout>
      </c:layout>
      <c:scatterChart>
        <c:scatterStyle val="lineMarker"/>
        <c:varyColors val="0"/>
        <c:ser>
          <c:idx val="1"/>
          <c:order val="0"/>
          <c:tx>
            <c:strRef>
              <c:f>Calculations!$Y$16</c:f>
              <c:strCache>
                <c:ptCount val="1"/>
                <c:pt idx="0">
                  <c:v>Increased rotational velocity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0">
                <a:noFill/>
              </a:ln>
              <a:effectLst/>
            </c:spPr>
          </c:marker>
          <c:xVal>
            <c:numRef>
              <c:f>Calculations!$Y$20:$Y$10000</c:f>
              <c:numCache>
                <c:formatCode>0</c:formatCode>
                <c:ptCount val="9981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Calculations!$R$20:$R$10000</c:f>
              <c:numCache>
                <c:formatCode>0.000</c:formatCode>
                <c:ptCount val="9981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06-4F20-8A63-72D3EEB10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61103"/>
        <c:axId val="1156405279"/>
      </c:scatterChart>
      <c:valAx>
        <c:axId val="270861103"/>
        <c:scaling>
          <c:orientation val="minMax"/>
          <c:max val="1.01"/>
          <c:min val="0.99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one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5DB82E"/>
                </a:solidFill>
                <a:latin typeface="+mn-lt"/>
                <a:ea typeface="+mn-ea"/>
                <a:cs typeface="Lucida Sans Unicode" panose="020B0602030504020204" pitchFamily="34" charset="0"/>
              </a:defRPr>
            </a:pPr>
            <a:endParaRPr lang="nb-NO"/>
          </a:p>
        </c:txPr>
        <c:crossAx val="1156405279"/>
        <c:crosses val="autoZero"/>
        <c:crossBetween val="midCat"/>
      </c:valAx>
      <c:valAx>
        <c:axId val="1156405279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Lucida Sans Unicode" panose="020B0602030504020204" pitchFamily="34" charset="0"/>
              </a:defRPr>
            </a:pPr>
            <a:endParaRPr lang="nb-NO"/>
          </a:p>
        </c:txPr>
        <c:crossAx val="2708611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126935301958352E-2"/>
          <c:y val="4.5000201875556964E-2"/>
          <c:w val="0.81915924923095818"/>
          <c:h val="0.83742242776440357"/>
        </c:manualLayout>
      </c:layout>
      <c:scatterChart>
        <c:scatterStyle val="lineMarker"/>
        <c:varyColors val="0"/>
        <c:ser>
          <c:idx val="1"/>
          <c:order val="0"/>
          <c:tx>
            <c:strRef>
              <c:f>Calculations!$T$17</c:f>
              <c:strCache>
                <c:ptCount val="1"/>
                <c:pt idx="0">
                  <c:v>FDT</c:v>
                </c:pt>
              </c:strCache>
            </c:strRef>
          </c:tx>
          <c:spPr>
            <a:ln w="19050" cap="rnd">
              <a:solidFill>
                <a:srgbClr val="ED1C2E"/>
              </a:solidFill>
              <a:round/>
            </a:ln>
            <a:effectLst/>
          </c:spPr>
          <c:marker>
            <c:symbol val="none"/>
          </c:marker>
          <c:xVal>
            <c:numRef>
              <c:f>Calculations!$T$20:$T$10000</c:f>
              <c:numCache>
                <c:formatCode>0.0</c:formatCode>
                <c:ptCount val="9981"/>
                <c:pt idx="0">
                  <c:v>1E-3</c:v>
                </c:pt>
                <c:pt idx="1">
                  <c:v>1E-3</c:v>
                </c:pt>
              </c:numCache>
            </c:numRef>
          </c:xVal>
          <c:yVal>
            <c:numRef>
              <c:f>Calculations!$R$20:$R$10000</c:f>
              <c:numCache>
                <c:formatCode>0.000</c:formatCode>
                <c:ptCount val="9981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06-4F20-8A63-72D3EEB10419}"/>
            </c:ext>
          </c:extLst>
        </c:ser>
        <c:ser>
          <c:idx val="0"/>
          <c:order val="1"/>
          <c:tx>
            <c:strRef>
              <c:f>Calculations!$J$7</c:f>
              <c:strCache>
                <c:ptCount val="1"/>
                <c:pt idx="0">
                  <c:v>Show depth to at least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xVal>
            <c:numRef>
              <c:f>Calculations!$J$9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Calculations!$K$9</c:f>
              <c:numCache>
                <c:formatCode>0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65-4C6D-A2EF-7579FBD7C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61103"/>
        <c:axId val="1156405279"/>
      </c:scatterChart>
      <c:valAx>
        <c:axId val="270861103"/>
        <c:scaling>
          <c:orientation val="minMax"/>
          <c:max val="30"/>
          <c:min val="1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ED1C2E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nb-NO"/>
          </a:p>
        </c:txPr>
        <c:crossAx val="1156405279"/>
        <c:crosses val="autoZero"/>
        <c:crossBetween val="midCat"/>
        <c:majorUnit val="10"/>
      </c:valAx>
      <c:valAx>
        <c:axId val="1156405279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nb-NO"/>
          </a:p>
        </c:txPr>
        <c:crossAx val="270861103"/>
        <c:crosses val="autoZero"/>
        <c:crossBetween val="midCat"/>
      </c:valAx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468452704673172"/>
          <c:y val="4.5000201875556964E-2"/>
          <c:w val="0.58235621448219865"/>
          <c:h val="0.83607361149084214"/>
        </c:manualLayout>
      </c:layout>
      <c:scatterChart>
        <c:scatterStyle val="lineMarker"/>
        <c:varyColors val="0"/>
        <c:ser>
          <c:idx val="0"/>
          <c:order val="1"/>
          <c:tx>
            <c:strRef>
              <c:f>Calculations!$U$17</c:f>
              <c:strCache>
                <c:ptCount val="1"/>
                <c:pt idx="0">
                  <c:v>B</c:v>
                </c:pt>
              </c:strCache>
            </c:strRef>
          </c:tx>
          <c:spPr>
            <a:ln w="19050" cap="rnd">
              <a:solidFill>
                <a:srgbClr val="5DB82E"/>
              </a:solidFill>
              <a:round/>
            </a:ln>
            <a:effectLst/>
          </c:spPr>
          <c:marker>
            <c:symbol val="none"/>
          </c:marker>
          <c:xVal>
            <c:numRef>
              <c:f>Calculations!$U$20:$U$10000</c:f>
              <c:numCache>
                <c:formatCode>0.0</c:formatCode>
                <c:ptCount val="9981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Calculations!$R$20:$R$10000</c:f>
              <c:numCache>
                <c:formatCode>0.000</c:formatCode>
                <c:ptCount val="9981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06-4F20-8A63-72D3EEB10419}"/>
            </c:ext>
          </c:extLst>
        </c:ser>
        <c:ser>
          <c:idx val="3"/>
          <c:order val="3"/>
          <c:tx>
            <c:strRef>
              <c:f>Calculations!$J$7</c:f>
              <c:strCache>
                <c:ptCount val="1"/>
                <c:pt idx="0">
                  <c:v>Show depth to at least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xVal>
            <c:numRef>
              <c:f>Calculations!$J$9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Calculations!$K$9</c:f>
              <c:numCache>
                <c:formatCode>0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BB-4D05-AF30-5D7BC7349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61103"/>
        <c:axId val="1156405279"/>
      </c:scatterChart>
      <c:scatterChart>
        <c:scatterStyle val="lineMarker"/>
        <c:varyColors val="0"/>
        <c:ser>
          <c:idx val="1"/>
          <c:order val="0"/>
          <c:tx>
            <c:strRef>
              <c:f>Calculations!$W$17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rgbClr val="008EC2"/>
              </a:solidFill>
              <a:round/>
            </a:ln>
            <a:effectLst/>
          </c:spPr>
          <c:marker>
            <c:symbol val="none"/>
          </c:marker>
          <c:xVal>
            <c:numRef>
              <c:f>Calculations!$W$20:$W$10000</c:f>
              <c:numCache>
                <c:formatCode>0.0</c:formatCode>
                <c:ptCount val="9981"/>
                <c:pt idx="0">
                  <c:v>1E-4</c:v>
                </c:pt>
                <c:pt idx="1">
                  <c:v>1E-4</c:v>
                </c:pt>
              </c:numCache>
            </c:numRef>
          </c:xVal>
          <c:yVal>
            <c:numRef>
              <c:f>Calculations!$R$20:$R$10000</c:f>
              <c:numCache>
                <c:formatCode>0.000</c:formatCode>
                <c:ptCount val="9981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06-4F20-8A63-72D3EEB10419}"/>
            </c:ext>
          </c:extLst>
        </c:ser>
        <c:ser>
          <c:idx val="2"/>
          <c:order val="2"/>
          <c:tx>
            <c:strRef>
              <c:f>Calculations!$J$7</c:f>
              <c:strCache>
                <c:ptCount val="1"/>
                <c:pt idx="0">
                  <c:v>Show depth to at least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xVal>
            <c:numRef>
              <c:f>Calculations!$J$9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Calculations!$K$9</c:f>
              <c:numCache>
                <c:formatCode>0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BB-4D05-AF30-5D7BC7349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915327"/>
        <c:axId val="444918687"/>
      </c:scatterChart>
      <c:valAx>
        <c:axId val="270861103"/>
        <c:scaling>
          <c:orientation val="maxMin"/>
          <c:max val="300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nb-NO" sz="1200">
                    <a:solidFill>
                      <a:srgbClr val="5DB82E"/>
                    </a:solidFill>
                    <a:latin typeface="Lucida Sans Unicode" panose="020B0602030504020204" pitchFamily="34" charset="0"/>
                    <a:cs typeface="Lucida Sans Unicode" panose="020B0602030504020204" pitchFamily="34" charset="0"/>
                  </a:rPr>
                  <a:t>Drill time (s/m)</a:t>
                </a:r>
              </a:p>
            </c:rich>
          </c:tx>
          <c:layout>
            <c:manualLayout>
              <c:xMode val="edge"/>
              <c:yMode val="edge"/>
              <c:x val="0.34544308087615172"/>
              <c:y val="0.953713348975069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nb-NO"/>
            </a:p>
          </c:txPr>
        </c:title>
        <c:numFmt formatCode="#,##0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5DB82E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nb-NO"/>
          </a:p>
        </c:txPr>
        <c:crossAx val="1156405279"/>
        <c:crosses val="autoZero"/>
        <c:crossBetween val="midCat"/>
        <c:majorUnit val="100"/>
      </c:valAx>
      <c:valAx>
        <c:axId val="1156405279"/>
        <c:scaling>
          <c:orientation val="maxMin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Calculations!$H$8</c:f>
              <c:strCache>
                <c:ptCount val="1"/>
                <c:pt idx="0">
                  <c:v>Depth (m)</c:v>
                </c:pt>
              </c:strCache>
            </c:strRef>
          </c:tx>
          <c:layout>
            <c:manualLayout>
              <c:xMode val="edge"/>
              <c:yMode val="edge"/>
              <c:x val="3.5225436525894594E-3"/>
              <c:y val="0.456164024294942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nb-NO"/>
            </a:p>
          </c:txPr>
        </c:title>
        <c:numFmt formatCode="#,##0.0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nb-NO"/>
          </a:p>
        </c:txPr>
        <c:crossAx val="270861103"/>
        <c:crosses val="autoZero"/>
        <c:crossBetween val="midCat"/>
      </c:valAx>
      <c:valAx>
        <c:axId val="444918687"/>
        <c:scaling>
          <c:orientation val="maxMin"/>
        </c:scaling>
        <c:delete val="0"/>
        <c:axPos val="r"/>
        <c:numFmt formatCode="0.000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44915327"/>
        <c:crosses val="max"/>
        <c:crossBetween val="midCat"/>
      </c:valAx>
      <c:valAx>
        <c:axId val="444915327"/>
        <c:scaling>
          <c:orientation val="minMax"/>
          <c:max val="3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008EC2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nb-NO" sz="1200">
                    <a:solidFill>
                      <a:srgbClr val="008EC2"/>
                    </a:solidFill>
                    <a:latin typeface="Lucida Sans Unicode" panose="020B0602030504020204" pitchFamily="34" charset="0"/>
                    <a:cs typeface="Lucida Sans Unicode" panose="020B0602030504020204" pitchFamily="34" charset="0"/>
                  </a:rPr>
                  <a:t>Flushing pressure (MPa)</a:t>
                </a:r>
              </a:p>
            </c:rich>
          </c:tx>
          <c:layout>
            <c:manualLayout>
              <c:xMode val="edge"/>
              <c:yMode val="edge"/>
              <c:x val="0.30032300016551983"/>
              <c:y val="0.968851361940703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rgbClr val="008EC2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nb-NO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8EC2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nb-NO"/>
          </a:p>
        </c:txPr>
        <c:crossAx val="444918687"/>
        <c:crosses val="max"/>
        <c:crossBetween val="midCat"/>
        <c:majorUnit val="1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356541785566908"/>
          <c:y val="4.5000201875556964E-2"/>
          <c:w val="0.31788883265734641"/>
          <c:h val="0.83742242776440357"/>
        </c:manualLayout>
      </c:layout>
      <c:scatterChart>
        <c:scatterStyle val="lineMarker"/>
        <c:varyColors val="0"/>
        <c:ser>
          <c:idx val="1"/>
          <c:order val="0"/>
          <c:tx>
            <c:strRef>
              <c:f>Calculations!$Z$16</c:f>
              <c:strCache>
                <c:ptCount val="1"/>
                <c:pt idx="0">
                  <c:v>Flushing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Calculations!$Z$20:$Z$10000</c:f>
              <c:numCache>
                <c:formatCode>0</c:formatCode>
                <c:ptCount val="9981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Calculations!$R$20:$R$10000</c:f>
              <c:numCache>
                <c:formatCode>0.000</c:formatCode>
                <c:ptCount val="9981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06-4F20-8A63-72D3EEB10419}"/>
            </c:ext>
          </c:extLst>
        </c:ser>
        <c:ser>
          <c:idx val="0"/>
          <c:order val="1"/>
          <c:tx>
            <c:strRef>
              <c:f>Calculations!$J$7</c:f>
              <c:strCache>
                <c:ptCount val="1"/>
                <c:pt idx="0">
                  <c:v>Show depth to at least</c:v>
                </c:pt>
              </c:strCache>
            </c:strRef>
          </c:tx>
          <c:spPr>
            <a:ln w="19050">
              <a:noFill/>
            </a:ln>
          </c:spPr>
          <c:xVal>
            <c:numRef>
              <c:f>Calculations!$J$9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Calculations!$K$9</c:f>
              <c:numCache>
                <c:formatCode>0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8A-4277-9465-A4E3155C3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61103"/>
        <c:axId val="1156405279"/>
      </c:scatterChart>
      <c:valAx>
        <c:axId val="270861103"/>
        <c:scaling>
          <c:orientation val="minMax"/>
          <c:max val="1.01"/>
          <c:min val="0.99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one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5DB82E"/>
                </a:solidFill>
                <a:latin typeface="+mn-lt"/>
                <a:ea typeface="+mn-ea"/>
                <a:cs typeface="Lucida Sans Unicode" panose="020B0602030504020204" pitchFamily="34" charset="0"/>
              </a:defRPr>
            </a:pPr>
            <a:endParaRPr lang="nb-NO"/>
          </a:p>
        </c:txPr>
        <c:crossAx val="1156405279"/>
        <c:crosses val="autoZero"/>
        <c:crossBetween val="midCat"/>
      </c:valAx>
      <c:valAx>
        <c:axId val="1156405279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Lucida Sans Unicode" panose="020B0602030504020204" pitchFamily="34" charset="0"/>
              </a:defRPr>
            </a:pPr>
            <a:endParaRPr lang="nb-NO"/>
          </a:p>
        </c:txPr>
        <c:crossAx val="270861103"/>
        <c:crosses val="autoZero"/>
        <c:crossBetween val="midCat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356541785566908"/>
          <c:y val="4.5000201875556964E-2"/>
          <c:w val="0.31788883265734641"/>
          <c:h val="0.83742242776440357"/>
        </c:manualLayout>
      </c:layout>
      <c:scatterChart>
        <c:scatterStyle val="lineMarker"/>
        <c:varyColors val="0"/>
        <c:ser>
          <c:idx val="1"/>
          <c:order val="0"/>
          <c:tx>
            <c:strRef>
              <c:f>Calculations!$AA$16</c:f>
              <c:strCache>
                <c:ptCount val="1"/>
                <c:pt idx="0">
                  <c:v>Hammering</c:v>
                </c:pt>
              </c:strCache>
            </c:strRef>
          </c:tx>
          <c:spPr>
            <a:ln w="1905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0">
                <a:noFill/>
              </a:ln>
              <a:effectLst/>
            </c:spPr>
          </c:marker>
          <c:xVal>
            <c:numRef>
              <c:f>Calculations!$AA$20:$AA$10000</c:f>
              <c:numCache>
                <c:formatCode>0</c:formatCode>
                <c:ptCount val="9981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Calculations!$R$20:$R$10000</c:f>
              <c:numCache>
                <c:formatCode>0.000</c:formatCode>
                <c:ptCount val="9981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06-4F20-8A63-72D3EEB10419}"/>
            </c:ext>
          </c:extLst>
        </c:ser>
        <c:ser>
          <c:idx val="0"/>
          <c:order val="1"/>
          <c:tx>
            <c:strRef>
              <c:f>Calculations!$J$7</c:f>
              <c:strCache>
                <c:ptCount val="1"/>
                <c:pt idx="0">
                  <c:v>Show depth to at least</c:v>
                </c:pt>
              </c:strCache>
            </c:strRef>
          </c:tx>
          <c:spPr>
            <a:ln w="19050">
              <a:noFill/>
            </a:ln>
          </c:spPr>
          <c:xVal>
            <c:numRef>
              <c:f>Calculations!$J$9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Calculations!$K$9</c:f>
              <c:numCache>
                <c:formatCode>0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57-4C95-A016-4590F52F1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61103"/>
        <c:axId val="1156405279"/>
      </c:scatterChart>
      <c:valAx>
        <c:axId val="270861103"/>
        <c:scaling>
          <c:orientation val="minMax"/>
          <c:max val="1.01"/>
          <c:min val="0.99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one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5DB82E"/>
                </a:solidFill>
                <a:latin typeface="+mn-lt"/>
                <a:ea typeface="+mn-ea"/>
                <a:cs typeface="Lucida Sans Unicode" panose="020B0602030504020204" pitchFamily="34" charset="0"/>
              </a:defRPr>
            </a:pPr>
            <a:endParaRPr lang="nb-NO"/>
          </a:p>
        </c:txPr>
        <c:crossAx val="1156405279"/>
        <c:crosses val="autoZero"/>
        <c:crossBetween val="midCat"/>
      </c:valAx>
      <c:valAx>
        <c:axId val="1156405279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Lucida Sans Unicode" panose="020B0602030504020204" pitchFamily="34" charset="0"/>
              </a:defRPr>
            </a:pPr>
            <a:endParaRPr lang="nb-NO"/>
          </a:p>
        </c:txPr>
        <c:crossAx val="270861103"/>
        <c:crosses val="autoZero"/>
        <c:crossBetween val="midCat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Rotational velocity</a:t>
            </a:r>
          </a:p>
        </c:rich>
      </c:tx>
      <c:layout>
        <c:manualLayout>
          <c:xMode val="edge"/>
          <c:yMode val="edge"/>
          <c:x val="0.33586080586080586"/>
          <c:y val="1.31255115849003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27970338659123922"/>
          <c:y val="0.10325023495010238"/>
          <c:w val="0.63718981729225599"/>
          <c:h val="0.87268632714424699"/>
        </c:manualLayout>
      </c:layout>
      <c:scatterChart>
        <c:scatterStyle val="lineMarker"/>
        <c:varyColors val="0"/>
        <c:ser>
          <c:idx val="4"/>
          <c:order val="0"/>
          <c:tx>
            <c:strRef>
              <c:f>Calculations!$Y$4</c:f>
              <c:strCache>
                <c:ptCount val="1"/>
                <c:pt idx="0">
                  <c:v>R-threshold</c:v>
                </c:pt>
              </c:strCache>
            </c:strRef>
          </c:tx>
          <c:spPr>
            <a:ln w="19050" cap="rnd">
              <a:solidFill>
                <a:srgbClr val="FF96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Calculations!$Y$5:$Y$6</c:f>
              <c:numCache>
                <c:formatCode>0</c:formatCode>
                <c:ptCount val="2"/>
                <c:pt idx="0">
                  <c:v>35</c:v>
                </c:pt>
                <c:pt idx="1">
                  <c:v>35</c:v>
                </c:pt>
              </c:numCache>
            </c:numRef>
          </c:xVal>
          <c:yVal>
            <c:numRef>
              <c:f>Calculations!$Z$5:$Z$6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413-469D-B88F-0931EB0ACAF0}"/>
            </c:ext>
          </c:extLst>
        </c:ser>
        <c:ser>
          <c:idx val="5"/>
          <c:order val="1"/>
          <c:tx>
            <c:strRef>
              <c:f>Calculations!$V$17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rgbClr val="FF9600"/>
              </a:solidFill>
              <a:round/>
            </a:ln>
            <a:effectLst/>
          </c:spPr>
          <c:marker>
            <c:symbol val="none"/>
          </c:marker>
          <c:xVal>
            <c:numRef>
              <c:f>Calculations!$V$20:$V$10000</c:f>
              <c:numCache>
                <c:formatCode>0.0</c:formatCode>
                <c:ptCount val="9981"/>
                <c:pt idx="0">
                  <c:v>1E-4</c:v>
                </c:pt>
                <c:pt idx="1">
                  <c:v>1E-4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413-469D-B88F-0931EB0AC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6978016"/>
        <c:axId val="1972341184"/>
      </c:scatterChart>
      <c:valAx>
        <c:axId val="167697801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972341184"/>
        <c:crosses val="autoZero"/>
        <c:crossBetween val="midCat"/>
      </c:valAx>
      <c:valAx>
        <c:axId val="197234118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Calculations!$H$8</c:f>
              <c:strCache>
                <c:ptCount val="1"/>
                <c:pt idx="0">
                  <c:v>Depth (m)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676978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1086528818044085"/>
          <c:y val="0.89403853732881711"/>
          <c:w val="0.47961504811898514"/>
          <c:h val="6.2209757388181665E-2"/>
        </c:manualLayout>
      </c:layout>
      <c:overlay val="0"/>
      <c:spPr>
        <a:solidFill>
          <a:schemeClr val="bg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Flushing pressure</a:t>
            </a:r>
          </a:p>
        </c:rich>
      </c:tx>
      <c:layout>
        <c:manualLayout>
          <c:xMode val="edge"/>
          <c:yMode val="edge"/>
          <c:x val="0.33586080586080586"/>
          <c:y val="1.31255115849003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27970338659123922"/>
          <c:y val="0.10325023495010238"/>
          <c:w val="0.63718981729225599"/>
          <c:h val="0.87268632714424699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Calculations!$W$4</c:f>
              <c:strCache>
                <c:ptCount val="1"/>
                <c:pt idx="0">
                  <c:v>I-threshold</c:v>
                </c:pt>
              </c:strCache>
            </c:strRef>
          </c:tx>
          <c:spPr>
            <a:ln w="19050" cap="rnd">
              <a:solidFill>
                <a:srgbClr val="008EC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Calculations!$W$5:$W$6</c:f>
              <c:numCache>
                <c:formatCode>0.0</c:formatCode>
                <c:ptCount val="2"/>
                <c:pt idx="0">
                  <c:v>0.1</c:v>
                </c:pt>
                <c:pt idx="1">
                  <c:v>0.1</c:v>
                </c:pt>
              </c:numCache>
            </c:numRef>
          </c:xVal>
          <c:yVal>
            <c:numRef>
              <c:f>Calculations!$Z$5:$Z$6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13-469D-B88F-0931EB0ACAF0}"/>
            </c:ext>
          </c:extLst>
        </c:ser>
        <c:ser>
          <c:idx val="1"/>
          <c:order val="1"/>
          <c:tx>
            <c:strRef>
              <c:f>Calculations!$W$17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rgbClr val="008EC2"/>
              </a:solidFill>
              <a:round/>
            </a:ln>
            <a:effectLst/>
          </c:spPr>
          <c:marker>
            <c:symbol val="none"/>
          </c:marker>
          <c:xVal>
            <c:numRef>
              <c:f>Calculations!$W$20:$W$10000</c:f>
              <c:numCache>
                <c:formatCode>0.0</c:formatCode>
                <c:ptCount val="9981"/>
                <c:pt idx="0">
                  <c:v>1E-4</c:v>
                </c:pt>
                <c:pt idx="1">
                  <c:v>1E-4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13-469D-B88F-0931EB0AC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6978016"/>
        <c:axId val="1972341184"/>
      </c:scatterChart>
      <c:valAx>
        <c:axId val="167697801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972341184"/>
        <c:crosses val="autoZero"/>
        <c:crossBetween val="midCat"/>
      </c:valAx>
      <c:valAx>
        <c:axId val="197234118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Calculations!$H$8</c:f>
              <c:strCache>
                <c:ptCount val="1"/>
                <c:pt idx="0">
                  <c:v>Depth (m)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676978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0002517977935683"/>
          <c:y val="0.89622612259296741"/>
          <c:w val="0.50671531912169521"/>
          <c:h val="7.5335268973082029E-2"/>
        </c:manualLayout>
      </c:layout>
      <c:overlay val="0"/>
      <c:spPr>
        <a:solidFill>
          <a:schemeClr val="bg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Hammer pressure</a:t>
            </a:r>
          </a:p>
        </c:rich>
      </c:tx>
      <c:layout>
        <c:manualLayout>
          <c:xMode val="edge"/>
          <c:yMode val="edge"/>
          <c:x val="0.33586080586080586"/>
          <c:y val="1.31255115849003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27970338659123922"/>
          <c:y val="0.10325023495010238"/>
          <c:w val="0.63718981729225599"/>
          <c:h val="0.87268632714424699"/>
        </c:manualLayout>
      </c:layout>
      <c:scatterChart>
        <c:scatterStyle val="lineMarker"/>
        <c:varyColors val="0"/>
        <c:ser>
          <c:idx val="2"/>
          <c:order val="0"/>
          <c:tx>
            <c:strRef>
              <c:f>Calculations!$X$4</c:f>
              <c:strCache>
                <c:ptCount val="1"/>
                <c:pt idx="0">
                  <c:v>AZ-threshold</c:v>
                </c:pt>
              </c:strCache>
            </c:strRef>
          </c:tx>
          <c:spPr>
            <a:ln w="19050" cap="rnd">
              <a:solidFill>
                <a:srgbClr val="444F55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Calculations!$X$5:$X$6</c:f>
              <c:numCache>
                <c:formatCode>0.0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Calculations!$Z$5:$Z$6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13-469D-B88F-0931EB0ACAF0}"/>
            </c:ext>
          </c:extLst>
        </c:ser>
        <c:ser>
          <c:idx val="3"/>
          <c:order val="1"/>
          <c:tx>
            <c:strRef>
              <c:f>Calculations!$X$17</c:f>
              <c:strCache>
                <c:ptCount val="1"/>
                <c:pt idx="0">
                  <c:v>AZ</c:v>
                </c:pt>
              </c:strCache>
            </c:strRef>
          </c:tx>
          <c:spPr>
            <a:ln w="19050" cap="rnd">
              <a:solidFill>
                <a:srgbClr val="444F55"/>
              </a:solidFill>
              <a:round/>
            </a:ln>
            <a:effectLst/>
          </c:spPr>
          <c:marker>
            <c:symbol val="none"/>
          </c:marker>
          <c:xVal>
            <c:numRef>
              <c:f>Calculations!$X$20:$X$10000</c:f>
              <c:numCache>
                <c:formatCode>0.0</c:formatCode>
                <c:ptCount val="9981"/>
                <c:pt idx="0">
                  <c:v>1E-4</c:v>
                </c:pt>
                <c:pt idx="1">
                  <c:v>1E-4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413-469D-B88F-0931EB0AC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6978016"/>
        <c:axId val="1972341184"/>
      </c:scatterChart>
      <c:valAx>
        <c:axId val="167697801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972341184"/>
        <c:crosses val="autoZero"/>
        <c:crossBetween val="midCat"/>
      </c:valAx>
      <c:valAx>
        <c:axId val="197234118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Calculations!$H$8</c:f>
              <c:strCache>
                <c:ptCount val="1"/>
                <c:pt idx="0">
                  <c:v>Depth (m)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676978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2170539658152486"/>
          <c:y val="0.89841370785711727"/>
          <c:w val="0.49045515652006916"/>
          <c:h val="7.3147683708931974E-2"/>
        </c:manualLayout>
      </c:layout>
      <c:overlay val="0"/>
      <c:spPr>
        <a:solidFill>
          <a:schemeClr val="bg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423039479115557"/>
          <c:y val="5.8655470936306089E-2"/>
          <c:w val="0.16964434553058938"/>
          <c:h val="0.88931620918664911"/>
        </c:manualLayout>
      </c:layout>
      <c:scatterChart>
        <c:scatterStyle val="lineMarker"/>
        <c:varyColors val="0"/>
        <c:ser>
          <c:idx val="1"/>
          <c:order val="0"/>
          <c:tx>
            <c:strRef>
              <c:f>Calculations!$M$7</c:f>
              <c:strCache>
                <c:ptCount val="1"/>
                <c:pt idx="0">
                  <c:v>Predrilling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Calculations!$M$9:$M$10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Calculations!$N$9:$N$10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2-4A4A-8A37-3A463B422766}"/>
            </c:ext>
          </c:extLst>
        </c:ser>
        <c:ser>
          <c:idx val="2"/>
          <c:order val="1"/>
          <c:tx>
            <c:strRef>
              <c:f>'2D Classification'!$C$4</c:f>
              <c:strCache>
                <c:ptCount val="1"/>
                <c:pt idx="0">
                  <c:v>0.Outside model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'2D Classification'!$B$20:$B$10000</c:f>
              <c:numCache>
                <c:formatCode>General</c:formatCode>
                <c:ptCount val="9981"/>
                <c:pt idx="0">
                  <c:v>#N/A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8B-48DC-B14C-66C5AD8C831E}"/>
            </c:ext>
          </c:extLst>
        </c:ser>
        <c:ser>
          <c:idx val="0"/>
          <c:order val="2"/>
          <c:tx>
            <c:strRef>
              <c:f>Calculations!$J$7</c:f>
              <c:strCache>
                <c:ptCount val="1"/>
                <c:pt idx="0">
                  <c:v>Show depth to at least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Calculations!$J$9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Calculations!$K$9</c:f>
              <c:numCache>
                <c:formatCode>0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98-4B06-8A06-D5CEE721117E}"/>
            </c:ext>
          </c:extLst>
        </c:ser>
        <c:ser>
          <c:idx val="3"/>
          <c:order val="3"/>
          <c:tx>
            <c:strRef>
              <c:f>'2D Classification'!$C$14</c:f>
              <c:strCache>
                <c:ptCount val="1"/>
                <c:pt idx="0">
                  <c:v>10.Gravel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'2D Classification'!$L$20:$L$10000</c:f>
              <c:numCache>
                <c:formatCode>General</c:formatCode>
                <c:ptCount val="9981"/>
                <c:pt idx="0">
                  <c:v>#N/A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8B-48DC-B14C-66C5AD8C831E}"/>
            </c:ext>
          </c:extLst>
        </c:ser>
        <c:ser>
          <c:idx val="4"/>
          <c:order val="4"/>
          <c:tx>
            <c:strRef>
              <c:f>'2D Classification'!$C$13</c:f>
              <c:strCache>
                <c:ptCount val="1"/>
                <c:pt idx="0">
                  <c:v>9.Sandy gravel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'2D Classification'!$K$20:$K$10000</c:f>
              <c:numCache>
                <c:formatCode>General</c:formatCode>
                <c:ptCount val="9981"/>
                <c:pt idx="0">
                  <c:v>#N/A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8B-48DC-B14C-66C5AD8C831E}"/>
            </c:ext>
          </c:extLst>
        </c:ser>
        <c:ser>
          <c:idx val="5"/>
          <c:order val="5"/>
          <c:tx>
            <c:strRef>
              <c:f>'2D Classification'!$C$12</c:f>
              <c:strCache>
                <c:ptCount val="1"/>
                <c:pt idx="0">
                  <c:v>8.Gravelly sand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'2D Classification'!$J$20:$J$10000</c:f>
              <c:numCache>
                <c:formatCode>General</c:formatCode>
                <c:ptCount val="9981"/>
                <c:pt idx="0">
                  <c:v>#N/A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8B-48DC-B14C-66C5AD8C831E}"/>
            </c:ext>
          </c:extLst>
        </c:ser>
        <c:ser>
          <c:idx val="6"/>
          <c:order val="6"/>
          <c:tx>
            <c:strRef>
              <c:f>'2D Classification'!$C$11</c:f>
              <c:strCache>
                <c:ptCount val="1"/>
                <c:pt idx="0">
                  <c:v>7.Sand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'2D Classification'!$I$20:$I$10000</c:f>
              <c:numCache>
                <c:formatCode>General</c:formatCode>
                <c:ptCount val="9981"/>
                <c:pt idx="0">
                  <c:v>#N/A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18B-48DC-B14C-66C5AD8C831E}"/>
            </c:ext>
          </c:extLst>
        </c:ser>
        <c:ser>
          <c:idx val="7"/>
          <c:order val="7"/>
          <c:tx>
            <c:strRef>
              <c:f>'2D Classification'!$C$10</c:f>
              <c:strCache>
                <c:ptCount val="1"/>
                <c:pt idx="0">
                  <c:v>6.Silty sand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'2D Classification'!$H$20:$H$10000</c:f>
              <c:numCache>
                <c:formatCode>General</c:formatCode>
                <c:ptCount val="9981"/>
                <c:pt idx="0">
                  <c:v>#N/A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18B-48DC-B14C-66C5AD8C831E}"/>
            </c:ext>
          </c:extLst>
        </c:ser>
        <c:ser>
          <c:idx val="8"/>
          <c:order val="8"/>
          <c:tx>
            <c:strRef>
              <c:f>'2D Classification'!$C$9</c:f>
              <c:strCache>
                <c:ptCount val="1"/>
                <c:pt idx="0">
                  <c:v>5.Sandy silt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'2D Classification'!$G$20:$G$10000</c:f>
              <c:numCache>
                <c:formatCode>General</c:formatCode>
                <c:ptCount val="9981"/>
                <c:pt idx="0">
                  <c:v>#N/A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8B-48DC-B14C-66C5AD8C831E}"/>
            </c:ext>
          </c:extLst>
        </c:ser>
        <c:ser>
          <c:idx val="9"/>
          <c:order val="9"/>
          <c:tx>
            <c:strRef>
              <c:f>'2D Classification'!$C$8</c:f>
              <c:strCache>
                <c:ptCount val="1"/>
                <c:pt idx="0">
                  <c:v>4.Silt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'2D Classification'!$F$20:$F$10000</c:f>
              <c:numCache>
                <c:formatCode>General</c:formatCode>
                <c:ptCount val="9981"/>
                <c:pt idx="0">
                  <c:v>#N/A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8B-48DC-B14C-66C5AD8C831E}"/>
            </c:ext>
          </c:extLst>
        </c:ser>
        <c:ser>
          <c:idx val="10"/>
          <c:order val="10"/>
          <c:tx>
            <c:strRef>
              <c:f>'2D Classification'!$C$7</c:f>
              <c:strCache>
                <c:ptCount val="1"/>
                <c:pt idx="0">
                  <c:v>3.Clayey silt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0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'2D Classification'!$E$20:$E$10000</c:f>
              <c:numCache>
                <c:formatCode>General</c:formatCode>
                <c:ptCount val="9981"/>
                <c:pt idx="0">
                  <c:v>#N/A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18B-48DC-B14C-66C5AD8C831E}"/>
            </c:ext>
          </c:extLst>
        </c:ser>
        <c:ser>
          <c:idx val="11"/>
          <c:order val="11"/>
          <c:tx>
            <c:strRef>
              <c:f>'2D Classification'!$C$6</c:f>
              <c:strCache>
                <c:ptCount val="1"/>
                <c:pt idx="0">
                  <c:v>2.Silty clay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1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'2D Classification'!$D$20:$D$10000</c:f>
              <c:numCache>
                <c:formatCode>General</c:formatCode>
                <c:ptCount val="9981"/>
                <c:pt idx="0">
                  <c:v>#N/A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18B-48DC-B14C-66C5AD8C831E}"/>
            </c:ext>
          </c:extLst>
        </c:ser>
        <c:ser>
          <c:idx val="12"/>
          <c:order val="12"/>
          <c:tx>
            <c:strRef>
              <c:f>'2D Classification'!$C$5</c:f>
              <c:strCache>
                <c:ptCount val="1"/>
                <c:pt idx="0">
                  <c:v>1.Clay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2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'2D Classification'!$C$20:$C$10000</c:f>
              <c:numCache>
                <c:formatCode>General</c:formatCode>
                <c:ptCount val="9981"/>
                <c:pt idx="0">
                  <c:v>#N/A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18B-48DC-B14C-66C5AD8C831E}"/>
            </c:ext>
          </c:extLst>
        </c:ser>
        <c:ser>
          <c:idx val="13"/>
          <c:order val="13"/>
          <c:tx>
            <c:strRef>
              <c:f>'2D Classification'!$M$19</c:f>
              <c:strCache>
                <c:ptCount val="1"/>
                <c:pt idx="0">
                  <c:v>Flush/hammer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3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'2D Classification'!$M$20:$M$10000</c:f>
              <c:numCache>
                <c:formatCode>General</c:formatCode>
                <c:ptCount val="9981"/>
                <c:pt idx="0">
                  <c:v>0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18B-48DC-B14C-66C5AD8C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61103"/>
        <c:axId val="1156405279"/>
      </c:scatterChart>
      <c:valAx>
        <c:axId val="270861103"/>
        <c:scaling>
          <c:orientation val="minMax"/>
          <c:max val="1.1000000000000001"/>
          <c:min val="0.9"/>
        </c:scaling>
        <c:delete val="0"/>
        <c:axPos val="t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5DB82E"/>
                </a:solidFill>
                <a:latin typeface="+mn-lt"/>
                <a:ea typeface="+mn-ea"/>
                <a:cs typeface="Lucida Sans Unicode" panose="020B0602030504020204" pitchFamily="34" charset="0"/>
              </a:defRPr>
            </a:pPr>
            <a:endParaRPr lang="nb-NO"/>
          </a:p>
        </c:txPr>
        <c:crossAx val="1156405279"/>
        <c:crosses val="autoZero"/>
        <c:crossBetween val="midCat"/>
      </c:valAx>
      <c:valAx>
        <c:axId val="1156405279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Calculations!$H$8</c:f>
              <c:strCache>
                <c:ptCount val="1"/>
                <c:pt idx="0">
                  <c:v>Depth (m)</c:v>
                </c:pt>
              </c:strCache>
            </c:strRef>
          </c:tx>
          <c:layout>
            <c:manualLayout>
              <c:xMode val="edge"/>
              <c:yMode val="edge"/>
              <c:x val="3.5225436525894594E-3"/>
              <c:y val="0.456164024294942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nb-NO"/>
            </a:p>
          </c:tx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nb-NO"/>
          </a:p>
        </c:txPr>
        <c:crossAx val="270861103"/>
        <c:crosses val="autoZero"/>
        <c:crossBetween val="midCat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  <c:userShapes r:id="rId14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681210908774374"/>
          <c:y val="5.4624467538520613E-2"/>
          <c:w val="0.76424287937930147"/>
          <c:h val="0.768729299291737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'2D class-methods'!$A$11</c:f>
              <c:strCache>
                <c:ptCount val="1"/>
                <c:pt idx="0">
                  <c:v>1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'2D class-methods'!$B$11:$B$17</c:f>
              <c:numCache>
                <c:formatCode>General</c:formatCode>
                <c:ptCount val="7"/>
                <c:pt idx="0">
                  <c:v>0.1</c:v>
                </c:pt>
                <c:pt idx="1">
                  <c:v>8</c:v>
                </c:pt>
                <c:pt idx="2">
                  <c:v>9</c:v>
                </c:pt>
                <c:pt idx="3">
                  <c:v>90</c:v>
                </c:pt>
                <c:pt idx="4">
                  <c:v>4000</c:v>
                </c:pt>
                <c:pt idx="5">
                  <c:v>0.1</c:v>
                </c:pt>
                <c:pt idx="6">
                  <c:v>0.1</c:v>
                </c:pt>
              </c:numCache>
            </c:numRef>
          </c:xVal>
          <c:yVal>
            <c:numRef>
              <c:f>'2D class-methods'!$C$11:$C$17</c:f>
              <c:numCache>
                <c:formatCode>General</c:formatCode>
                <c:ptCount val="7"/>
                <c:pt idx="0">
                  <c:v>3.5000000000000003E-2</c:v>
                </c:pt>
                <c:pt idx="1">
                  <c:v>0.2</c:v>
                </c:pt>
                <c:pt idx="2">
                  <c:v>0.04</c:v>
                </c:pt>
                <c:pt idx="3">
                  <c:v>0.25</c:v>
                </c:pt>
                <c:pt idx="4">
                  <c:v>1E-3</c:v>
                </c:pt>
                <c:pt idx="5">
                  <c:v>1E-3</c:v>
                </c:pt>
                <c:pt idx="6">
                  <c:v>3.5000000000000003E-2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02-434B-8F98-22D1C43360F4}"/>
            </c:ext>
          </c:extLst>
        </c:ser>
        <c:ser>
          <c:idx val="1"/>
          <c:order val="1"/>
          <c:tx>
            <c:strRef>
              <c:f>'2D class-methods'!$A$18</c:f>
              <c:strCache>
                <c:ptCount val="1"/>
                <c:pt idx="0">
                  <c:v>2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'2D class-methods'!$B$18:$B$22</c:f>
              <c:numCache>
                <c:formatCode>General</c:formatCode>
                <c:ptCount val="5"/>
                <c:pt idx="0">
                  <c:v>8</c:v>
                </c:pt>
                <c:pt idx="1">
                  <c:v>70</c:v>
                </c:pt>
                <c:pt idx="2">
                  <c:v>90</c:v>
                </c:pt>
                <c:pt idx="3">
                  <c:v>9</c:v>
                </c:pt>
                <c:pt idx="4">
                  <c:v>8</c:v>
                </c:pt>
              </c:numCache>
            </c:numRef>
          </c:xVal>
          <c:yVal>
            <c:numRef>
              <c:f>'2D class-methods'!$C$18:$C$22</c:f>
              <c:numCache>
                <c:formatCode>General</c:formatCode>
                <c:ptCount val="5"/>
                <c:pt idx="0">
                  <c:v>0.2</c:v>
                </c:pt>
                <c:pt idx="1">
                  <c:v>0.5</c:v>
                </c:pt>
                <c:pt idx="2">
                  <c:v>0.25</c:v>
                </c:pt>
                <c:pt idx="3">
                  <c:v>0.04</c:v>
                </c:pt>
                <c:pt idx="4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02-434B-8F98-22D1C43360F4}"/>
            </c:ext>
          </c:extLst>
        </c:ser>
        <c:ser>
          <c:idx val="2"/>
          <c:order val="2"/>
          <c:tx>
            <c:strRef>
              <c:f>'2D class-methods'!$A$23</c:f>
              <c:strCache>
                <c:ptCount val="1"/>
                <c:pt idx="0">
                  <c:v>3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'2D class-methods'!$B$23:$B$27</c:f>
              <c:numCache>
                <c:formatCode>General</c:formatCode>
                <c:ptCount val="5"/>
                <c:pt idx="0">
                  <c:v>15</c:v>
                </c:pt>
                <c:pt idx="1">
                  <c:v>85</c:v>
                </c:pt>
                <c:pt idx="2">
                  <c:v>70</c:v>
                </c:pt>
                <c:pt idx="3">
                  <c:v>8</c:v>
                </c:pt>
                <c:pt idx="4">
                  <c:v>15</c:v>
                </c:pt>
              </c:numCache>
            </c:numRef>
          </c:xVal>
          <c:yVal>
            <c:numRef>
              <c:f>'2D class-methods'!$C$23:$C$27</c:f>
              <c:numCache>
                <c:formatCode>General</c:formatCode>
                <c:ptCount val="5"/>
                <c:pt idx="0">
                  <c:v>1.1499999999999999</c:v>
                </c:pt>
                <c:pt idx="1">
                  <c:v>0.96</c:v>
                </c:pt>
                <c:pt idx="2">
                  <c:v>0.5</c:v>
                </c:pt>
                <c:pt idx="3">
                  <c:v>0.2</c:v>
                </c:pt>
                <c:pt idx="4">
                  <c:v>1.1499999999999999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02-434B-8F98-22D1C43360F4}"/>
            </c:ext>
          </c:extLst>
        </c:ser>
        <c:ser>
          <c:idx val="3"/>
          <c:order val="3"/>
          <c:tx>
            <c:strRef>
              <c:f>'2D class-methods'!$A$28</c:f>
              <c:strCache>
                <c:ptCount val="1"/>
                <c:pt idx="0">
                  <c:v>4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'2D class-methods'!$B$28:$B$32</c:f>
              <c:numCache>
                <c:formatCode>General</c:formatCode>
                <c:ptCount val="5"/>
                <c:pt idx="0">
                  <c:v>0.1</c:v>
                </c:pt>
                <c:pt idx="1">
                  <c:v>15</c:v>
                </c:pt>
                <c:pt idx="2">
                  <c:v>8</c:v>
                </c:pt>
                <c:pt idx="3">
                  <c:v>0.1</c:v>
                </c:pt>
                <c:pt idx="4">
                  <c:v>0.1</c:v>
                </c:pt>
              </c:numCache>
            </c:numRef>
          </c:xVal>
          <c:yVal>
            <c:numRef>
              <c:f>'2D class-methods'!$C$28:$C$32</c:f>
              <c:numCache>
                <c:formatCode>General</c:formatCode>
                <c:ptCount val="5"/>
                <c:pt idx="0">
                  <c:v>1.9</c:v>
                </c:pt>
                <c:pt idx="1">
                  <c:v>1.1499999999999999</c:v>
                </c:pt>
                <c:pt idx="2">
                  <c:v>0.2</c:v>
                </c:pt>
                <c:pt idx="3">
                  <c:v>3.5000000000000003E-2</c:v>
                </c:pt>
                <c:pt idx="4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02-434B-8F98-22D1C43360F4}"/>
            </c:ext>
          </c:extLst>
        </c:ser>
        <c:ser>
          <c:idx val="4"/>
          <c:order val="4"/>
          <c:tx>
            <c:strRef>
              <c:f>'2D class-methods'!$A$33</c:f>
              <c:strCache>
                <c:ptCount val="1"/>
                <c:pt idx="0">
                  <c:v>5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'2D class-methods'!$B$33:$B$39</c:f>
              <c:numCache>
                <c:formatCode>General</c:formatCode>
                <c:ptCount val="7"/>
                <c:pt idx="0">
                  <c:v>0.1</c:v>
                </c:pt>
                <c:pt idx="1">
                  <c:v>10</c:v>
                </c:pt>
                <c:pt idx="2">
                  <c:v>120</c:v>
                </c:pt>
                <c:pt idx="3">
                  <c:v>85</c:v>
                </c:pt>
                <c:pt idx="4">
                  <c:v>15</c:v>
                </c:pt>
                <c:pt idx="5">
                  <c:v>0.1</c:v>
                </c:pt>
                <c:pt idx="6">
                  <c:v>0.1</c:v>
                </c:pt>
              </c:numCache>
            </c:numRef>
          </c:xVal>
          <c:yVal>
            <c:numRef>
              <c:f>'2D class-methods'!$C$33:$C$39</c:f>
              <c:numCache>
                <c:formatCode>General</c:formatCode>
                <c:ptCount val="7"/>
                <c:pt idx="0">
                  <c:v>100</c:v>
                </c:pt>
                <c:pt idx="1">
                  <c:v>100</c:v>
                </c:pt>
                <c:pt idx="2">
                  <c:v>1.2</c:v>
                </c:pt>
                <c:pt idx="3">
                  <c:v>0.96</c:v>
                </c:pt>
                <c:pt idx="4">
                  <c:v>1.1499999999999999</c:v>
                </c:pt>
                <c:pt idx="5">
                  <c:v>1.9</c:v>
                </c:pt>
                <c:pt idx="6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702-434B-8F98-22D1C43360F4}"/>
            </c:ext>
          </c:extLst>
        </c:ser>
        <c:ser>
          <c:idx val="5"/>
          <c:order val="5"/>
          <c:tx>
            <c:strRef>
              <c:f>'2D class-methods'!$A$40</c:f>
              <c:strCache>
                <c:ptCount val="1"/>
                <c:pt idx="0">
                  <c:v>6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'2D class-methods'!$B$40:$B$45</c:f>
              <c:numCache>
                <c:formatCode>General</c:formatCode>
                <c:ptCount val="6"/>
                <c:pt idx="0">
                  <c:v>85</c:v>
                </c:pt>
                <c:pt idx="1">
                  <c:v>120</c:v>
                </c:pt>
                <c:pt idx="2">
                  <c:v>340</c:v>
                </c:pt>
                <c:pt idx="3">
                  <c:v>300</c:v>
                </c:pt>
                <c:pt idx="4">
                  <c:v>70</c:v>
                </c:pt>
                <c:pt idx="5">
                  <c:v>85</c:v>
                </c:pt>
              </c:numCache>
            </c:numRef>
          </c:xVal>
          <c:yVal>
            <c:numRef>
              <c:f>'2D class-methods'!$C$40:$C$45</c:f>
              <c:numCache>
                <c:formatCode>General</c:formatCode>
                <c:ptCount val="6"/>
                <c:pt idx="0">
                  <c:v>0.96</c:v>
                </c:pt>
                <c:pt idx="1">
                  <c:v>1.2</c:v>
                </c:pt>
                <c:pt idx="2">
                  <c:v>1.8</c:v>
                </c:pt>
                <c:pt idx="3">
                  <c:v>0.7</c:v>
                </c:pt>
                <c:pt idx="4">
                  <c:v>0.5</c:v>
                </c:pt>
                <c:pt idx="5">
                  <c:v>0.96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702-434B-8F98-22D1C43360F4}"/>
            </c:ext>
          </c:extLst>
        </c:ser>
        <c:ser>
          <c:idx val="6"/>
          <c:order val="6"/>
          <c:tx>
            <c:strRef>
              <c:f>'2D class-methods'!$A$46</c:f>
              <c:strCache>
                <c:ptCount val="1"/>
                <c:pt idx="0">
                  <c:v>7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'2D class-methods'!$B$46:$B$52</c:f>
              <c:numCache>
                <c:formatCode>General</c:formatCode>
                <c:ptCount val="7"/>
                <c:pt idx="0">
                  <c:v>70</c:v>
                </c:pt>
                <c:pt idx="1">
                  <c:v>300</c:v>
                </c:pt>
                <c:pt idx="2">
                  <c:v>10000</c:v>
                </c:pt>
                <c:pt idx="3">
                  <c:v>10000</c:v>
                </c:pt>
                <c:pt idx="4">
                  <c:v>4000</c:v>
                </c:pt>
                <c:pt idx="5">
                  <c:v>90</c:v>
                </c:pt>
                <c:pt idx="6">
                  <c:v>70</c:v>
                </c:pt>
              </c:numCache>
            </c:numRef>
          </c:xVal>
          <c:yVal>
            <c:numRef>
              <c:f>'2D class-methods'!$C$46:$C$52</c:f>
              <c:numCache>
                <c:formatCode>General</c:formatCode>
                <c:ptCount val="7"/>
                <c:pt idx="0">
                  <c:v>0.5</c:v>
                </c:pt>
                <c:pt idx="1">
                  <c:v>0.7</c:v>
                </c:pt>
                <c:pt idx="2">
                  <c:v>0.08</c:v>
                </c:pt>
                <c:pt idx="3">
                  <c:v>1E-3</c:v>
                </c:pt>
                <c:pt idx="4">
                  <c:v>1E-3</c:v>
                </c:pt>
                <c:pt idx="5">
                  <c:v>0.25</c:v>
                </c:pt>
                <c:pt idx="6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702-434B-8F98-22D1C43360F4}"/>
            </c:ext>
          </c:extLst>
        </c:ser>
        <c:ser>
          <c:idx val="7"/>
          <c:order val="7"/>
          <c:tx>
            <c:strRef>
              <c:f>'2D class-methods'!$A$53</c:f>
              <c:strCache>
                <c:ptCount val="1"/>
                <c:pt idx="0">
                  <c:v>8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'2D class-methods'!$B$53:$B$57</c:f>
              <c:numCache>
                <c:formatCode>General</c:formatCode>
                <c:ptCount val="5"/>
                <c:pt idx="0">
                  <c:v>340</c:v>
                </c:pt>
                <c:pt idx="1">
                  <c:v>10000</c:v>
                </c:pt>
                <c:pt idx="2">
                  <c:v>10000</c:v>
                </c:pt>
                <c:pt idx="3">
                  <c:v>300</c:v>
                </c:pt>
                <c:pt idx="4">
                  <c:v>340</c:v>
                </c:pt>
              </c:numCache>
            </c:numRef>
          </c:xVal>
          <c:yVal>
            <c:numRef>
              <c:f>'2D class-methods'!$C$53:$C$57</c:f>
              <c:numCache>
                <c:formatCode>General</c:formatCode>
                <c:ptCount val="5"/>
                <c:pt idx="0">
                  <c:v>1.8</c:v>
                </c:pt>
                <c:pt idx="1">
                  <c:v>3</c:v>
                </c:pt>
                <c:pt idx="2">
                  <c:v>0.08</c:v>
                </c:pt>
                <c:pt idx="3">
                  <c:v>0.7</c:v>
                </c:pt>
                <c:pt idx="4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02-434B-8F98-22D1C43360F4}"/>
            </c:ext>
          </c:extLst>
        </c:ser>
        <c:ser>
          <c:idx val="8"/>
          <c:order val="8"/>
          <c:tx>
            <c:strRef>
              <c:f>'2D class-methods'!$A$58</c:f>
              <c:strCache>
                <c:ptCount val="1"/>
                <c:pt idx="0">
                  <c:v>9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'2D class-methods'!$B$58:$B$62</c:f>
              <c:numCache>
                <c:formatCode>General</c:formatCode>
                <c:ptCount val="5"/>
                <c:pt idx="0">
                  <c:v>620</c:v>
                </c:pt>
                <c:pt idx="1">
                  <c:v>10000</c:v>
                </c:pt>
                <c:pt idx="2">
                  <c:v>10000</c:v>
                </c:pt>
                <c:pt idx="3">
                  <c:v>340</c:v>
                </c:pt>
                <c:pt idx="4">
                  <c:v>620</c:v>
                </c:pt>
              </c:numCache>
            </c:numRef>
          </c:xVal>
          <c:yVal>
            <c:numRef>
              <c:f>'2D class-methods'!$C$58:$C$62</c:f>
              <c:numCache>
                <c:formatCode>General</c:formatCode>
                <c:ptCount val="5"/>
                <c:pt idx="0">
                  <c:v>100</c:v>
                </c:pt>
                <c:pt idx="1">
                  <c:v>100</c:v>
                </c:pt>
                <c:pt idx="2">
                  <c:v>3</c:v>
                </c:pt>
                <c:pt idx="3">
                  <c:v>1.8</c:v>
                </c:pt>
                <c:pt idx="4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702-434B-8F98-22D1C43360F4}"/>
            </c:ext>
          </c:extLst>
        </c:ser>
        <c:ser>
          <c:idx val="9"/>
          <c:order val="9"/>
          <c:tx>
            <c:strRef>
              <c:f>'2D class-methods'!$A$63</c:f>
              <c:strCache>
                <c:ptCount val="1"/>
                <c:pt idx="0">
                  <c:v>10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'2D class-methods'!$B$63:$B$67</c:f>
              <c:numCache>
                <c:formatCode>General</c:formatCode>
                <c:ptCount val="5"/>
                <c:pt idx="0">
                  <c:v>10</c:v>
                </c:pt>
                <c:pt idx="1">
                  <c:v>620</c:v>
                </c:pt>
                <c:pt idx="2">
                  <c:v>340</c:v>
                </c:pt>
                <c:pt idx="3">
                  <c:v>120</c:v>
                </c:pt>
                <c:pt idx="4">
                  <c:v>10</c:v>
                </c:pt>
              </c:numCache>
            </c:numRef>
          </c:xVal>
          <c:yVal>
            <c:numRef>
              <c:f>'2D class-methods'!$C$63:$C$67</c:f>
              <c:numCache>
                <c:formatCode>General</c:formatCode>
                <c:ptCount val="5"/>
                <c:pt idx="0">
                  <c:v>100</c:v>
                </c:pt>
                <c:pt idx="1">
                  <c:v>100</c:v>
                </c:pt>
                <c:pt idx="2">
                  <c:v>1.8</c:v>
                </c:pt>
                <c:pt idx="3">
                  <c:v>1.2</c:v>
                </c:pt>
                <c:pt idx="4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702-434B-8F98-22D1C43360F4}"/>
            </c:ext>
          </c:extLst>
        </c:ser>
        <c:ser>
          <c:idx val="10"/>
          <c:order val="10"/>
          <c:tx>
            <c:strRef>
              <c:f>Calculations!$H$11</c:f>
              <c:strCache>
                <c:ptCount val="1"/>
                <c:pt idx="0">
                  <c:v>Data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noFill/>
              <a:ln w="0">
                <a:solidFill>
                  <a:srgbClr val="00B0F0"/>
                </a:solidFill>
              </a:ln>
              <a:effectLst/>
            </c:spPr>
          </c:marker>
          <c:xVal>
            <c:numRef>
              <c:f>Calculations!$AK$20:$AK$10000</c:f>
              <c:numCache>
                <c:formatCode>0.0</c:formatCode>
                <c:ptCount val="9981"/>
                <c:pt idx="0">
                  <c:v>1E-10</c:v>
                </c:pt>
                <c:pt idx="1">
                  <c:v>1E-10</c:v>
                </c:pt>
              </c:numCache>
            </c:numRef>
          </c:xVal>
          <c:yVal>
            <c:numRef>
              <c:f>Calculations!$AL$20:$AL$10000</c:f>
              <c:numCache>
                <c:formatCode>0.0</c:formatCode>
                <c:ptCount val="9981"/>
                <c:pt idx="0">
                  <c:v>1E-10</c:v>
                </c:pt>
                <c:pt idx="1">
                  <c:v>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24-488F-8E57-B84BC42C6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0859456"/>
        <c:axId val="1192143280"/>
      </c:scatterChart>
      <c:valAx>
        <c:axId val="1680859456"/>
        <c:scaling>
          <c:logBase val="10"/>
          <c:orientation val="minMax"/>
          <c:max val="10000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en-US"/>
                  <a:t>q</a:t>
                </a:r>
                <a:r>
                  <a:rPr lang="en-US" baseline="-25000"/>
                  <a:t>ns</a:t>
                </a:r>
              </a:p>
            </c:rich>
          </c:tx>
          <c:layout>
            <c:manualLayout>
              <c:xMode val="edge"/>
              <c:yMode val="edge"/>
              <c:x val="0.85726435753813457"/>
              <c:y val="0.9020087336244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nb-NO"/>
          </a:p>
        </c:txPr>
        <c:crossAx val="1192143280"/>
        <c:crosses val="autoZero"/>
        <c:crossBetween val="midCat"/>
        <c:majorUnit val="10"/>
        <c:minorUnit val="10"/>
      </c:valAx>
      <c:valAx>
        <c:axId val="1192143280"/>
        <c:scaling>
          <c:logBase val="10"/>
          <c:orientation val="minMax"/>
          <c:max val="100"/>
          <c:min val="1.0000000000000002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en-US"/>
                  <a:t>std(F</a:t>
                </a:r>
                <a:r>
                  <a:rPr lang="en-US" baseline="-25000"/>
                  <a:t>DT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3.962356984652575E-3"/>
              <c:y val="2.241698563215778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nb-NO"/>
          </a:p>
        </c:txPr>
        <c:crossAx val="1680859456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664080586788621"/>
          <c:y val="5.8655470936306089E-2"/>
          <c:w val="0.61915354043885518"/>
          <c:h val="0.88931620918664911"/>
        </c:manualLayout>
      </c:layout>
      <c:scatterChart>
        <c:scatterStyle val="lineMarker"/>
        <c:varyColors val="0"/>
        <c:ser>
          <c:idx val="1"/>
          <c:order val="0"/>
          <c:tx>
            <c:strRef>
              <c:f>Calculations!$AM$16</c:f>
              <c:strCache>
                <c:ptCount val="1"/>
                <c:pt idx="0">
                  <c:v>Quick clay screening parameter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Calculations!$AM$20:$AM$10000</c:f>
              <c:numCache>
                <c:formatCode>0.0</c:formatCode>
                <c:ptCount val="9981"/>
                <c:pt idx="0">
                  <c:v>-431.63563801905866</c:v>
                </c:pt>
                <c:pt idx="1">
                  <c:v>-431.63563801905866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2-4A4A-8A37-3A463B422766}"/>
            </c:ext>
          </c:extLst>
        </c:ser>
        <c:ser>
          <c:idx val="0"/>
          <c:order val="1"/>
          <c:tx>
            <c:strRef>
              <c:f>Calculations!$AN$13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Calculations!$AM$11:$AM$12</c:f>
              <c:numCache>
                <c:formatCode>0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xVal>
          <c:yVal>
            <c:numRef>
              <c:f>Calculations!$AN$11:$AN$12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5E-4CBA-9FA7-FAE3C8C34A16}"/>
            </c:ext>
          </c:extLst>
        </c:ser>
        <c:ser>
          <c:idx val="2"/>
          <c:order val="2"/>
          <c:tx>
            <c:strRef>
              <c:f>Calculations!$J$7</c:f>
              <c:strCache>
                <c:ptCount val="1"/>
                <c:pt idx="0">
                  <c:v>Show depth to at least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Calculations!$J$9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Calculations!$K$9</c:f>
              <c:numCache>
                <c:formatCode>0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82-456D-BC93-41656A3C6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61103"/>
        <c:axId val="1156405279"/>
      </c:scatterChart>
      <c:valAx>
        <c:axId val="270861103"/>
        <c:scaling>
          <c:orientation val="minMax"/>
          <c:max val="100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high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Lucida Sans Unicode" panose="020B0602030504020204" pitchFamily="34" charset="0"/>
              </a:defRPr>
            </a:pPr>
            <a:endParaRPr lang="nb-NO"/>
          </a:p>
        </c:txPr>
        <c:crossAx val="1156405279"/>
        <c:crosses val="autoZero"/>
        <c:crossBetween val="midCat"/>
        <c:majorUnit val="50"/>
      </c:valAx>
      <c:valAx>
        <c:axId val="1156405279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Calculations!$H$8</c:f>
              <c:strCache>
                <c:ptCount val="1"/>
                <c:pt idx="0">
                  <c:v>Depth (m)</c:v>
                </c:pt>
              </c:strCache>
            </c:strRef>
          </c:tx>
          <c:layout>
            <c:manualLayout>
              <c:xMode val="edge"/>
              <c:yMode val="edge"/>
              <c:x val="3.5225436525894594E-3"/>
              <c:y val="0.456164024294942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nb-NO"/>
            </a:p>
          </c:tx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nb-NO"/>
          </a:p>
        </c:txPr>
        <c:crossAx val="270861103"/>
        <c:crosses val="autoZero"/>
        <c:crossBetween val="midCat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087417448950395"/>
          <c:y val="5.8655470936306089E-2"/>
          <c:w val="0.69440323107234747"/>
          <c:h val="0.88931620918664911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Calculations!$AO$16</c:f>
              <c:strCache>
                <c:ptCount val="1"/>
                <c:pt idx="0">
                  <c:v>Screening result compliment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Calculations!$AO$20:$AO$10000</c:f>
              <c:numCache>
                <c:formatCode>General</c:formatCode>
                <c:ptCount val="9981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0-4A29-8F64-E179E0F14685}"/>
            </c:ext>
          </c:extLst>
        </c:ser>
        <c:ser>
          <c:idx val="1"/>
          <c:order val="1"/>
          <c:tx>
            <c:strRef>
              <c:f>Calculations!$AN$16</c:f>
              <c:strCache>
                <c:ptCount val="1"/>
                <c:pt idx="0">
                  <c:v>Screening result</c:v>
                </c:pt>
              </c:strCache>
            </c:strRef>
          </c:tx>
          <c:spPr>
            <a:ln w="127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Calculations!$AN$20:$AN$10000</c:f>
              <c:numCache>
                <c:formatCode>General</c:formatCode>
                <c:ptCount val="9981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2-4A4A-8A37-3A463B422766}"/>
            </c:ext>
          </c:extLst>
        </c:ser>
        <c:ser>
          <c:idx val="2"/>
          <c:order val="2"/>
          <c:tx>
            <c:strRef>
              <c:f>'2D Classification'!$M$19</c:f>
              <c:strCache>
                <c:ptCount val="1"/>
                <c:pt idx="0">
                  <c:v>Flush/hammer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'2D Classification'!$M$20:$M$10000</c:f>
              <c:numCache>
                <c:formatCode>General</c:formatCode>
                <c:ptCount val="9981"/>
                <c:pt idx="0">
                  <c:v>0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0-4A29-8F64-E179E0F14685}"/>
            </c:ext>
          </c:extLst>
        </c:ser>
        <c:ser>
          <c:idx val="3"/>
          <c:order val="3"/>
          <c:tx>
            <c:strRef>
              <c:f>Calculations!$J$7</c:f>
              <c:strCache>
                <c:ptCount val="1"/>
                <c:pt idx="0">
                  <c:v>Show depth to at least</c:v>
                </c:pt>
              </c:strCache>
            </c:strRef>
          </c:tx>
          <c:spPr>
            <a:ln w="19050">
              <a:noFill/>
            </a:ln>
          </c:spPr>
          <c:xVal>
            <c:numRef>
              <c:f>Calculations!$J$9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Calculations!$K$9</c:f>
              <c:numCache>
                <c:formatCode>0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0C-421F-AE9C-A984A5317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61103"/>
        <c:axId val="1156405279"/>
      </c:scatterChart>
      <c:valAx>
        <c:axId val="270861103"/>
        <c:scaling>
          <c:orientation val="minMax"/>
          <c:max val="1.1000000000000001"/>
          <c:min val="0.9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high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Lucida Sans Unicode" panose="020B0602030504020204" pitchFamily="34" charset="0"/>
              </a:defRPr>
            </a:pPr>
            <a:endParaRPr lang="nb-NO"/>
          </a:p>
        </c:txPr>
        <c:crossAx val="1156405279"/>
        <c:crosses val="autoZero"/>
        <c:crossBetween val="midCat"/>
      </c:valAx>
      <c:valAx>
        <c:axId val="1156405279"/>
        <c:scaling>
          <c:orientation val="maxMin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low"/>
        <c:crossAx val="270861103"/>
        <c:crosses val="autoZero"/>
        <c:crossBetween val="midCat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423039479115557"/>
          <c:y val="5.8655470936306089E-2"/>
          <c:w val="0.16975095502936405"/>
          <c:h val="0.88931620918664911"/>
        </c:manualLayout>
      </c:layout>
      <c:scatterChart>
        <c:scatterStyle val="lineMarker"/>
        <c:varyColors val="0"/>
        <c:ser>
          <c:idx val="1"/>
          <c:order val="0"/>
          <c:tx>
            <c:strRef>
              <c:f>Calculations!$M$7</c:f>
              <c:strCache>
                <c:ptCount val="1"/>
                <c:pt idx="0">
                  <c:v>Predrilling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Calculations!$M$9:$M$10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Calculations!$N$9:$N$10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7-49B8-AB1D-2A37859A7331}"/>
            </c:ext>
          </c:extLst>
        </c:ser>
        <c:ser>
          <c:idx val="2"/>
          <c:order val="1"/>
          <c:tx>
            <c:strRef>
              <c:f>'DTW Classification'!$C$4</c:f>
              <c:strCache>
                <c:ptCount val="1"/>
                <c:pt idx="0">
                  <c:v>0.Outside model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'DTW Classification'!$B$20:$B$10000</c:f>
              <c:numCache>
                <c:formatCode>General</c:formatCode>
                <c:ptCount val="9981"/>
                <c:pt idx="0">
                  <c:v>#N/A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67-49B8-AB1D-2A37859A7331}"/>
            </c:ext>
          </c:extLst>
        </c:ser>
        <c:ser>
          <c:idx val="0"/>
          <c:order val="2"/>
          <c:tx>
            <c:strRef>
              <c:f>Calculations!$J$7</c:f>
              <c:strCache>
                <c:ptCount val="1"/>
                <c:pt idx="0">
                  <c:v>Show depth to at least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Calculations!$J$9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Calculations!$K$9</c:f>
              <c:numCache>
                <c:formatCode>0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67-49B8-AB1D-2A37859A7331}"/>
            </c:ext>
          </c:extLst>
        </c:ser>
        <c:ser>
          <c:idx val="3"/>
          <c:order val="3"/>
          <c:tx>
            <c:strRef>
              <c:f>'DTW Classification'!$C$14</c:f>
              <c:strCache>
                <c:ptCount val="1"/>
                <c:pt idx="0">
                  <c:v>10.Gravel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'DTW Classification'!$L$20:$L$10000</c:f>
              <c:numCache>
                <c:formatCode>General</c:formatCode>
                <c:ptCount val="9981"/>
                <c:pt idx="0">
                  <c:v>#N/A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67-49B8-AB1D-2A37859A7331}"/>
            </c:ext>
          </c:extLst>
        </c:ser>
        <c:ser>
          <c:idx val="4"/>
          <c:order val="4"/>
          <c:tx>
            <c:strRef>
              <c:f>'DTW Classification'!$C$13</c:f>
              <c:strCache>
                <c:ptCount val="1"/>
                <c:pt idx="0">
                  <c:v>9.Sandy gravel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'DTW Classification'!$K$20:$K$10000</c:f>
              <c:numCache>
                <c:formatCode>General</c:formatCode>
                <c:ptCount val="9981"/>
                <c:pt idx="0">
                  <c:v>#N/A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667-49B8-AB1D-2A37859A7331}"/>
            </c:ext>
          </c:extLst>
        </c:ser>
        <c:ser>
          <c:idx val="5"/>
          <c:order val="5"/>
          <c:tx>
            <c:strRef>
              <c:f>'DTW Classification'!$C$12</c:f>
              <c:strCache>
                <c:ptCount val="1"/>
                <c:pt idx="0">
                  <c:v>8.Gravelly sand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'DTW Classification'!$J$20:$J$10000</c:f>
              <c:numCache>
                <c:formatCode>General</c:formatCode>
                <c:ptCount val="9981"/>
                <c:pt idx="0">
                  <c:v>#N/A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667-49B8-AB1D-2A37859A7331}"/>
            </c:ext>
          </c:extLst>
        </c:ser>
        <c:ser>
          <c:idx val="6"/>
          <c:order val="6"/>
          <c:tx>
            <c:strRef>
              <c:f>'DTW Classification'!$C$11</c:f>
              <c:strCache>
                <c:ptCount val="1"/>
                <c:pt idx="0">
                  <c:v>7.Sand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'DTW Classification'!$I$20:$I$10000</c:f>
              <c:numCache>
                <c:formatCode>General</c:formatCode>
                <c:ptCount val="9981"/>
                <c:pt idx="0">
                  <c:v>#N/A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667-49B8-AB1D-2A37859A7331}"/>
            </c:ext>
          </c:extLst>
        </c:ser>
        <c:ser>
          <c:idx val="7"/>
          <c:order val="7"/>
          <c:tx>
            <c:strRef>
              <c:f>'DTW Classification'!$C$10</c:f>
              <c:strCache>
                <c:ptCount val="1"/>
                <c:pt idx="0">
                  <c:v>6.Silty sand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'DTW Classification'!$H$20:$H$10000</c:f>
              <c:numCache>
                <c:formatCode>General</c:formatCode>
                <c:ptCount val="9981"/>
                <c:pt idx="0">
                  <c:v>#N/A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667-49B8-AB1D-2A37859A7331}"/>
            </c:ext>
          </c:extLst>
        </c:ser>
        <c:ser>
          <c:idx val="8"/>
          <c:order val="8"/>
          <c:tx>
            <c:strRef>
              <c:f>'DTW Classification'!$C$9</c:f>
              <c:strCache>
                <c:ptCount val="1"/>
                <c:pt idx="0">
                  <c:v>5.Sandy silt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'DTW Classification'!$G$20:$G$10000</c:f>
              <c:numCache>
                <c:formatCode>General</c:formatCode>
                <c:ptCount val="9981"/>
                <c:pt idx="0">
                  <c:v>#N/A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667-49B8-AB1D-2A37859A7331}"/>
            </c:ext>
          </c:extLst>
        </c:ser>
        <c:ser>
          <c:idx val="9"/>
          <c:order val="9"/>
          <c:tx>
            <c:strRef>
              <c:f>'DTW Classification'!$C$8</c:f>
              <c:strCache>
                <c:ptCount val="1"/>
                <c:pt idx="0">
                  <c:v>4.Silt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'DTW Classification'!$F$20:$F$10000</c:f>
              <c:numCache>
                <c:formatCode>General</c:formatCode>
                <c:ptCount val="9981"/>
                <c:pt idx="0">
                  <c:v>#N/A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667-49B8-AB1D-2A37859A7331}"/>
            </c:ext>
          </c:extLst>
        </c:ser>
        <c:ser>
          <c:idx val="10"/>
          <c:order val="10"/>
          <c:tx>
            <c:strRef>
              <c:f>'DTW Classification'!$C$7</c:f>
              <c:strCache>
                <c:ptCount val="1"/>
                <c:pt idx="0">
                  <c:v>3.Clayey silt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0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'DTW Classification'!$E$20:$E$10000</c:f>
              <c:numCache>
                <c:formatCode>General</c:formatCode>
                <c:ptCount val="9981"/>
                <c:pt idx="0">
                  <c:v>#N/A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667-49B8-AB1D-2A37859A7331}"/>
            </c:ext>
          </c:extLst>
        </c:ser>
        <c:ser>
          <c:idx val="11"/>
          <c:order val="11"/>
          <c:tx>
            <c:strRef>
              <c:f>'DTW Classification'!$C$6</c:f>
              <c:strCache>
                <c:ptCount val="1"/>
                <c:pt idx="0">
                  <c:v>2.Silty clay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1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'DTW Classification'!$D$20:$D$10000</c:f>
              <c:numCache>
                <c:formatCode>General</c:formatCode>
                <c:ptCount val="9981"/>
                <c:pt idx="0">
                  <c:v>#N/A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667-49B8-AB1D-2A37859A7331}"/>
            </c:ext>
          </c:extLst>
        </c:ser>
        <c:ser>
          <c:idx val="12"/>
          <c:order val="12"/>
          <c:tx>
            <c:strRef>
              <c:f>'DTW Classification'!$C$5</c:f>
              <c:strCache>
                <c:ptCount val="1"/>
                <c:pt idx="0">
                  <c:v>1.Clay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2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'DTW Classification'!$C$20:$C$10000</c:f>
              <c:numCache>
                <c:formatCode>General</c:formatCode>
                <c:ptCount val="9981"/>
                <c:pt idx="0">
                  <c:v>#N/A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667-49B8-AB1D-2A37859A7331}"/>
            </c:ext>
          </c:extLst>
        </c:ser>
        <c:ser>
          <c:idx val="13"/>
          <c:order val="13"/>
          <c:tx>
            <c:strRef>
              <c:f>'DTW Classification'!$M$19</c:f>
              <c:strCache>
                <c:ptCount val="1"/>
                <c:pt idx="0">
                  <c:v>Flush/hammer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3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'DTW Classification'!$M$20:$M$10000</c:f>
              <c:numCache>
                <c:formatCode>General</c:formatCode>
                <c:ptCount val="9981"/>
                <c:pt idx="0">
                  <c:v>0</c:v>
                </c:pt>
              </c:numCache>
            </c:numRef>
          </c:xVal>
          <c:yVal>
            <c:numRef>
              <c:f>Calculations!$A$20:$A$10000</c:f>
              <c:numCache>
                <c:formatCode>0.000</c:formatCode>
                <c:ptCount val="99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667-49B8-AB1D-2A37859A7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61103"/>
        <c:axId val="1156405279"/>
      </c:scatterChart>
      <c:valAx>
        <c:axId val="270861103"/>
        <c:scaling>
          <c:orientation val="minMax"/>
          <c:max val="1.1000000000000001"/>
          <c:min val="0.9"/>
        </c:scaling>
        <c:delete val="0"/>
        <c:axPos val="t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5DB82E"/>
                </a:solidFill>
                <a:latin typeface="+mn-lt"/>
                <a:ea typeface="+mn-ea"/>
                <a:cs typeface="Lucida Sans Unicode" panose="020B0602030504020204" pitchFamily="34" charset="0"/>
              </a:defRPr>
            </a:pPr>
            <a:endParaRPr lang="nb-NO"/>
          </a:p>
        </c:txPr>
        <c:crossAx val="1156405279"/>
        <c:crosses val="autoZero"/>
        <c:crossBetween val="midCat"/>
      </c:valAx>
      <c:valAx>
        <c:axId val="1156405279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Calculations!$H$8</c:f>
              <c:strCache>
                <c:ptCount val="1"/>
                <c:pt idx="0">
                  <c:v>Depth (m)</c:v>
                </c:pt>
              </c:strCache>
            </c:strRef>
          </c:tx>
          <c:layout>
            <c:manualLayout>
              <c:xMode val="edge"/>
              <c:yMode val="edge"/>
              <c:x val="3.5225436525894594E-3"/>
              <c:y val="0.456164024294942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nb-NO"/>
            </a:p>
          </c:tx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nb-NO"/>
          </a:p>
        </c:txPr>
        <c:crossAx val="270861103"/>
        <c:crosses val="autoZero"/>
        <c:crossBetween val="midCat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  <c:userShapes r:id="rId14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5.xml"/><Relationship Id="rId7" Type="http://schemas.openxmlformats.org/officeDocument/2006/relationships/chart" Target="../charts/chart8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10" Type="http://schemas.openxmlformats.org/officeDocument/2006/relationships/chart" Target="../charts/chart11.xml"/><Relationship Id="rId4" Type="http://schemas.openxmlformats.org/officeDocument/2006/relationships/image" Target="../media/image2.png"/><Relationship Id="rId9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image" Target="../media/image2.png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3</xdr:row>
          <xdr:rowOff>0</xdr:rowOff>
        </xdr:from>
        <xdr:to>
          <xdr:col>6</xdr:col>
          <xdr:colOff>1743075</xdr:colOff>
          <xdr:row>4</xdr:row>
          <xdr:rowOff>47625</xdr:rowOff>
        </xdr:to>
        <xdr:sp macro="" textlink="">
          <xdr:nvSpPr>
            <xdr:cNvPr id="1025" name="raw_file_to_she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Raw data to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66675</xdr:rowOff>
        </xdr:from>
        <xdr:to>
          <xdr:col>6</xdr:col>
          <xdr:colOff>1724025</xdr:colOff>
          <xdr:row>2</xdr:row>
          <xdr:rowOff>123825</xdr:rowOff>
        </xdr:to>
        <xdr:sp macro="" textlink="">
          <xdr:nvSpPr>
            <xdr:cNvPr id="1026" name="read_file_bt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nb-NO" sz="1600" b="0" i="0" u="none" strike="noStrike" baseline="0">
                  <a:solidFill>
                    <a:srgbClr val="000000"/>
                  </a:solidFill>
                  <a:latin typeface="Lucida Sans Unicode"/>
                  <a:cs typeface="Lucida Sans Unicode"/>
                </a:rPr>
                <a:t>Read TOT file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95250</xdr:colOff>
      <xdr:row>0</xdr:row>
      <xdr:rowOff>200025</xdr:rowOff>
    </xdr:from>
    <xdr:to>
      <xdr:col>5</xdr:col>
      <xdr:colOff>1263244</xdr:colOff>
      <xdr:row>5</xdr:row>
      <xdr:rowOff>72778</xdr:rowOff>
    </xdr:to>
    <xdr:pic>
      <xdr:nvPicPr>
        <xdr:cNvPr id="3" name="LOGO_HOVE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91125" y="200025"/>
          <a:ext cx="1167994" cy="872878"/>
        </a:xfrm>
        <a:prstGeom prst="rect">
          <a:avLst/>
        </a:prstGeom>
      </xdr:spPr>
    </xdr:pic>
    <xdr:clientData/>
  </xdr:twoCellAnchor>
  <xdr:oneCellAnchor>
    <xdr:from>
      <xdr:col>8</xdr:col>
      <xdr:colOff>3570</xdr:colOff>
      <xdr:row>8</xdr:row>
      <xdr:rowOff>3572</xdr:rowOff>
    </xdr:from>
    <xdr:ext cx="7444979" cy="1098827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728595" y="1575197"/>
          <a:ext cx="7444979" cy="10988278"/>
        </a:xfrm>
        <a:prstGeom prst="rect">
          <a:avLst/>
        </a:prstGeom>
        <a:solidFill>
          <a:srgbClr val="FAFAFA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nb-NO" sz="1100" b="1">
              <a:solidFill>
                <a:srgbClr val="444F55"/>
              </a:solidFill>
            </a:rPr>
            <a:t>Norwegian Public</a:t>
          </a:r>
          <a:r>
            <a:rPr lang="nb-NO" sz="1100" b="1" baseline="0">
              <a:solidFill>
                <a:srgbClr val="444F55"/>
              </a:solidFill>
            </a:rPr>
            <a:t> Roads Administration</a:t>
          </a:r>
          <a:r>
            <a:rPr lang="nb-NO" sz="1100" b="1">
              <a:solidFill>
                <a:srgbClr val="444F55"/>
              </a:solidFill>
            </a:rPr>
            <a:t> - Total sounding spreadsheet </a:t>
          </a:r>
          <a:r>
            <a:rPr lang="nb-NO" sz="1100" b="1" baseline="0">
              <a:solidFill>
                <a:srgbClr val="444F55"/>
              </a:solidFill>
            </a:rPr>
            <a:t>v.2024.02</a:t>
          </a:r>
        </a:p>
        <a:p>
          <a:endParaRPr lang="nb-NO" sz="1100" b="0" baseline="0">
            <a:solidFill>
              <a:sysClr val="windowText" lastClr="000000"/>
            </a:solidFill>
          </a:endParaRPr>
        </a:p>
        <a:p>
          <a:r>
            <a:rPr lang="nb-NO" sz="1100" b="1">
              <a:solidFill>
                <a:srgbClr val="008EC2"/>
              </a:solidFill>
            </a:rPr>
            <a:t>Purpose</a:t>
          </a:r>
        </a:p>
        <a:p>
          <a:r>
            <a:rPr lang="nb-NO" sz="1100" b="0">
              <a:solidFill>
                <a:sysClr val="windowText" lastClr="000000"/>
              </a:solidFill>
            </a:rPr>
            <a:t>  This spreadsheet is produced to implement interpretation procedures developed at the Norwegian</a:t>
          </a:r>
          <a:r>
            <a:rPr lang="nb-NO" sz="1100" b="0" baseline="0">
              <a:solidFill>
                <a:sysClr val="windowText" lastClr="000000"/>
              </a:solidFill>
            </a:rPr>
            <a:t> Public Roads</a:t>
          </a:r>
          <a:br>
            <a:rPr lang="nb-NO" sz="1100" b="0" baseline="0">
              <a:solidFill>
                <a:sysClr val="windowText" lastClr="000000"/>
              </a:solidFill>
            </a:rPr>
          </a:br>
          <a:r>
            <a:rPr lang="nb-NO" sz="1100" b="0" baseline="0">
              <a:solidFill>
                <a:sysClr val="windowText" lastClr="000000"/>
              </a:solidFill>
            </a:rPr>
            <a:t>  Administration (NPRA) and to provide means to present results from total soundings. The spreadsheet is created for</a:t>
          </a:r>
          <a:br>
            <a:rPr lang="nb-NO" sz="1100" b="0" baseline="0">
              <a:solidFill>
                <a:sysClr val="windowText" lastClr="000000"/>
              </a:solidFill>
            </a:rPr>
          </a:br>
          <a:r>
            <a:rPr lang="nb-NO" sz="1100" b="0" baseline="0">
              <a:solidFill>
                <a:sysClr val="windowText" lastClr="000000"/>
              </a:solidFill>
            </a:rPr>
            <a:t>  internal use, but is made freely available to all interested parties.</a:t>
          </a:r>
          <a:endParaRPr lang="nb-NO" sz="1100" b="0">
            <a:solidFill>
              <a:sysClr val="windowText" lastClr="000000"/>
            </a:solidFill>
          </a:endParaRPr>
        </a:p>
        <a:p>
          <a:endParaRPr lang="nb-NO" sz="1100" b="0">
            <a:solidFill>
              <a:sysClr val="windowText" lastClr="000000"/>
            </a:solidFill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b-NO" sz="1100" b="1">
              <a:solidFill>
                <a:srgbClr val="444F55"/>
              </a:solidFill>
              <a:effectLst/>
              <a:latin typeface="+mn-lt"/>
              <a:ea typeface="+mn-ea"/>
              <a:cs typeface="+mn-cs"/>
            </a:rPr>
            <a:t>  Did you jus find an error, or want to suggest something new?</a:t>
          </a:r>
          <a:endParaRPr lang="nb-NO" sz="1100" b="0">
            <a:solidFill>
              <a:srgbClr val="444F55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b-NO" sz="1100" b="0">
              <a:solidFill>
                <a:srgbClr val="444F55"/>
              </a:solidFill>
              <a:effectLst/>
              <a:latin typeface="+mn-lt"/>
              <a:ea typeface="+mn-ea"/>
              <a:cs typeface="+mn-cs"/>
            </a:rPr>
            <a:t>  Great!  Please send an email with details to a member</a:t>
          </a:r>
          <a:r>
            <a:rPr lang="nb-NO" sz="1100" b="0" baseline="0">
              <a:solidFill>
                <a:srgbClr val="444F55"/>
              </a:solidFill>
              <a:effectLst/>
              <a:latin typeface="+mn-lt"/>
              <a:ea typeface="+mn-ea"/>
              <a:cs typeface="+mn-cs"/>
            </a:rPr>
            <a:t> of the workgroup (below) so we can implement this in an update.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nb-NO" sz="1100" b="0" baseline="0">
            <a:solidFill>
              <a:srgbClr val="444F55"/>
            </a:solidFill>
            <a:effectLst/>
            <a:latin typeface="+mn-lt"/>
            <a:ea typeface="+mn-ea"/>
            <a:cs typeface="+mn-cs"/>
          </a:endParaRPr>
        </a:p>
        <a:p>
          <a:pPr marL="0" indent="0"/>
          <a:r>
            <a:rPr lang="nb-NO" sz="1100" b="1">
              <a:solidFill>
                <a:srgbClr val="008EC2"/>
              </a:solidFill>
              <a:effectLst/>
              <a:latin typeface="+mn-lt"/>
              <a:ea typeface="+mn-ea"/>
              <a:cs typeface="+mn-cs"/>
            </a:rPr>
            <a:t>Use outside of Norwegian Public</a:t>
          </a:r>
          <a:r>
            <a:rPr lang="nb-NO" sz="1100" b="1" baseline="0">
              <a:solidFill>
                <a:srgbClr val="008EC2"/>
              </a:solidFill>
              <a:effectLst/>
              <a:latin typeface="+mn-lt"/>
              <a:ea typeface="+mn-ea"/>
              <a:cs typeface="+mn-cs"/>
            </a:rPr>
            <a:t> Roads Administration</a:t>
          </a:r>
          <a:endParaRPr lang="nb-NO" sz="1100" b="1">
            <a:solidFill>
              <a:srgbClr val="008EC2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This spreadsheet is developed at</a:t>
          </a:r>
          <a:r>
            <a:rPr lang="nb-N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the NPRA, but can be freely used by outside parties given a few conditions</a:t>
          </a:r>
          <a:r>
            <a:rPr lang="nb-NO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It us published </a:t>
          </a:r>
          <a:br>
            <a:rPr lang="nb-NO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b-NO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under the Norwegian Licence</a:t>
          </a:r>
          <a:r>
            <a:rPr lang="nb-N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for Open Government Data </a:t>
          </a:r>
          <a:r>
            <a:rPr lang="nb-NO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(NLOD).</a:t>
          </a:r>
          <a:r>
            <a:rPr lang="nb-N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nb-NO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short, NLOD</a:t>
          </a:r>
          <a:r>
            <a:rPr lang="nb-NO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nb-NO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states that:</a:t>
          </a:r>
        </a:p>
        <a:p>
          <a:endParaRPr lang="nb-NO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You</a:t>
          </a:r>
          <a:r>
            <a:rPr lang="nb-NO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may</a:t>
          </a:r>
          <a:endParaRPr lang="nb-NO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∙  change and/or merge with other tools</a:t>
          </a:r>
        </a:p>
        <a:p>
          <a:r>
            <a:rPr lang="nb-NO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∙  save, copy and make available an unaltered or altered versions of the tool</a:t>
          </a:r>
        </a:p>
        <a:p>
          <a:r>
            <a:rPr lang="nb-NO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∙  use the tool in a commercial setting</a:t>
          </a:r>
        </a:p>
        <a:p>
          <a:r>
            <a:rPr lang="nb-NO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Given that</a:t>
          </a:r>
          <a:r>
            <a:rPr lang="nb-NO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you</a:t>
          </a:r>
          <a:endParaRPr lang="nb-NO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∙  specify NPRA as the developer, and state which version was</a:t>
          </a:r>
          <a:r>
            <a:rPr lang="nb-N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used.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b-NO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You may not</a:t>
          </a:r>
        </a:p>
        <a:p>
          <a:r>
            <a:rPr lang="nb-NO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∙  mention</a:t>
          </a:r>
          <a:r>
            <a:rPr lang="nb-N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NPRA as the develooper in such a manner that suggests that NPRA has approved of/or recommended you or</a:t>
          </a:r>
          <a:br>
            <a:rPr lang="nb-N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b-N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your use of this tool.</a:t>
          </a:r>
          <a:endParaRPr lang="nb-NO" sz="1100" b="0" baseline="0">
            <a:solidFill>
              <a:srgbClr val="444F55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nb-NO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b-N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details see: </a:t>
          </a:r>
          <a:r>
            <a:rPr lang="nb-NO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https://data.norge.no/nlod/en/2.0</a:t>
          </a:r>
          <a:endParaRPr lang="nb-NO" sz="1100" b="0" i="1" baseline="0">
            <a:solidFill>
              <a:srgbClr val="444F55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nb-NO" sz="1100" b="0" baseline="0">
            <a:solidFill>
              <a:srgbClr val="444F55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1">
              <a:solidFill>
                <a:srgbClr val="008EC2"/>
              </a:solidFill>
              <a:effectLst/>
              <a:latin typeface="+mn-lt"/>
              <a:ea typeface="+mn-ea"/>
              <a:cs typeface="+mn-cs"/>
            </a:rPr>
            <a:t>Discalimer</a:t>
          </a:r>
          <a:endParaRPr lang="nb-NO">
            <a:solidFill>
              <a:srgbClr val="008EC2"/>
            </a:solidFill>
            <a:effectLst/>
          </a:endParaRPr>
        </a:p>
        <a:p>
          <a:r>
            <a:rPr lang="nb-NO" sz="1100" b="0" u="non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This spreadsheet can (and probably does) contain errors</a:t>
          </a:r>
          <a:r>
            <a:rPr lang="nb-NO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It is supplied as is.</a:t>
          </a:r>
        </a:p>
        <a:p>
          <a:r>
            <a:rPr lang="nb-NO">
              <a:effectLst/>
            </a:rPr>
            <a:t>  The developer cannot be held liable for</a:t>
          </a:r>
          <a:r>
            <a:rPr lang="nb-NO" baseline="0">
              <a:effectLst/>
            </a:rPr>
            <a:t> any direct or indirect damages or losses caused by the use of this tool. This includes,</a:t>
          </a:r>
          <a:br>
            <a:rPr lang="nb-NO" baseline="0">
              <a:effectLst/>
            </a:rPr>
          </a:br>
          <a:r>
            <a:rPr lang="nb-NO" baseline="0">
              <a:effectLst/>
            </a:rPr>
            <a:t>  but is not limited to,  monetary losses or any damages caused by delays.</a:t>
          </a:r>
        </a:p>
        <a:p>
          <a:endParaRPr lang="nb-NO" baseline="0">
            <a:effectLst/>
          </a:endParaRPr>
        </a:p>
        <a:p>
          <a:r>
            <a:rPr lang="nb-NO" baseline="0">
              <a:effectLst/>
            </a:rPr>
            <a:t>  By using this tool you acknowledge  that you have read and agree to the terms and disclaimer presented above.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nb-NO" sz="1100" b="0">
            <a:solidFill>
              <a:sysClr val="windowText" lastClr="000000"/>
            </a:solidFill>
          </a:endParaRPr>
        </a:p>
        <a:p>
          <a:r>
            <a:rPr lang="nb-NO" sz="1100" b="1">
              <a:solidFill>
                <a:srgbClr val="008EC2"/>
              </a:solidFill>
            </a:rPr>
            <a:t>Where to start?</a:t>
          </a:r>
        </a:p>
        <a:p>
          <a:r>
            <a:rPr lang="nb-NO" sz="1100" b="0">
              <a:solidFill>
                <a:sysClr val="windowText" lastClr="000000"/>
              </a:solidFill>
            </a:rPr>
            <a:t>  Interpretation</a:t>
          </a:r>
          <a:r>
            <a:rPr lang="nb-NO" sz="1100" b="0" baseline="0">
              <a:solidFill>
                <a:sysClr val="windowText" lastClr="000000"/>
              </a:solidFill>
            </a:rPr>
            <a:t> starts by reading a sounding file by pressing the </a:t>
          </a:r>
          <a:r>
            <a:rPr lang="nb-NO" sz="1100" b="1" baseline="0">
              <a:solidFill>
                <a:sysClr val="windowText" lastClr="000000"/>
              </a:solidFill>
            </a:rPr>
            <a:t>Read TOT file</a:t>
          </a:r>
          <a:r>
            <a:rPr lang="nb-NO" sz="1100" b="0" baseline="0">
              <a:solidFill>
                <a:sysClr val="windowText" lastClr="000000"/>
              </a:solidFill>
            </a:rPr>
            <a:t> buton.</a:t>
          </a:r>
          <a:endParaRPr lang="nb-NO" sz="1100" b="0">
            <a:solidFill>
              <a:sysClr val="windowText" lastClr="000000"/>
            </a:solidFill>
          </a:endParaRPr>
        </a:p>
        <a:p>
          <a:endParaRPr lang="nb-NO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1">
              <a:solidFill>
                <a:srgbClr val="5DB82E"/>
              </a:solidFill>
              <a:effectLst/>
              <a:latin typeface="+mn-lt"/>
              <a:ea typeface="+mn-ea"/>
              <a:cs typeface="+mn-cs"/>
            </a:rPr>
            <a:t>  General sheet</a:t>
          </a:r>
        </a:p>
        <a:p>
          <a:r>
            <a:rPr lang="nb-NO" sz="1100" b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 General input for project data,  follow</a:t>
          </a:r>
          <a:r>
            <a:rPr lang="nb-NO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the color coding for cells, and input desired values where relevant.  Green text</a:t>
          </a:r>
          <a:br>
            <a:rPr lang="nb-NO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nb-NO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 appears on figures.</a:t>
          </a:r>
        </a:p>
        <a:p>
          <a:endParaRPr lang="nb-NO" sz="1100" b="0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1" baseline="0">
              <a:solidFill>
                <a:srgbClr val="5DB82E"/>
              </a:solidFill>
              <a:effectLst/>
              <a:latin typeface="+mn-lt"/>
              <a:ea typeface="+mn-ea"/>
              <a:cs typeface="+mn-cs"/>
            </a:rPr>
            <a:t>  Figures</a:t>
          </a:r>
        </a:p>
        <a:p>
          <a:r>
            <a:rPr lang="nb-NO" sz="1100" b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 The table at the bottom of the general sheet controls</a:t>
          </a:r>
          <a:r>
            <a:rPr lang="nb-NO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the title block of all figures in this spreadsheet. Any changes to title-</a:t>
          </a:r>
          <a:br>
            <a:rPr lang="nb-NO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nb-NO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 blocks should be made here and not in the sheets.</a:t>
          </a:r>
          <a:endParaRPr lang="nb-NO" sz="1100" b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endParaRPr lang="nb-NO" sz="1100" b="0">
            <a:solidFill>
              <a:srgbClr val="008EC2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1">
              <a:solidFill>
                <a:srgbClr val="008EC2"/>
              </a:solidFill>
              <a:effectLst/>
              <a:latin typeface="+mn-lt"/>
              <a:ea typeface="+mn-ea"/>
              <a:cs typeface="+mn-cs"/>
            </a:rPr>
            <a:t>Sheets</a:t>
          </a:r>
          <a:r>
            <a:rPr lang="nb-NO" sz="1100" b="1" baseline="0">
              <a:solidFill>
                <a:srgbClr val="008EC2"/>
              </a:solidFill>
              <a:effectLst/>
              <a:latin typeface="+mn-lt"/>
              <a:ea typeface="+mn-ea"/>
              <a:cs typeface="+mn-cs"/>
            </a:rPr>
            <a:t> for printing</a:t>
          </a:r>
          <a:endParaRPr lang="nb-NO" sz="1100" b="1">
            <a:solidFill>
              <a:srgbClr val="008EC2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Some sheets</a:t>
          </a:r>
          <a:r>
            <a:rPr lang="nb-N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have been formated for printing, with title blocks and defined figures (see color code). Any settings relevant to</a:t>
          </a:r>
          <a:br>
            <a:rPr lang="nb-N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b-N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interpretation methods will be available to the right of the relevant figure.</a:t>
          </a:r>
          <a:endParaRPr lang="nb-NO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nb-NO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1">
              <a:solidFill>
                <a:srgbClr val="008EC2"/>
              </a:solidFill>
              <a:effectLst/>
              <a:latin typeface="+mn-lt"/>
              <a:ea typeface="+mn-ea"/>
              <a:cs typeface="+mn-cs"/>
            </a:rPr>
            <a:t>Lagring/utskrift</a:t>
          </a:r>
        </a:p>
        <a:p>
          <a:r>
            <a:rPr lang="nb-NO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This spreadsheet contains macros,</a:t>
          </a:r>
          <a:r>
            <a:rPr lang="nb-N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if these are to be available the next time this sheet is opened it must be saved as an</a:t>
          </a:r>
          <a:br>
            <a:rPr lang="nb-N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b-N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macro enabled workbook (an </a:t>
          </a:r>
          <a:r>
            <a:rPr lang="nb-NO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nb-N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file) or alternatively as a macro enabled template (an </a:t>
          </a:r>
          <a:r>
            <a:rPr lang="nb-NO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.xltm </a:t>
          </a:r>
          <a:r>
            <a:rPr lang="nb-N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file). If not, any functionality</a:t>
          </a:r>
          <a:br>
            <a:rPr lang="nb-N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nb-N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that relies on macros will be lost.</a:t>
          </a:r>
        </a:p>
        <a:p>
          <a:endParaRPr lang="nb-NO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Each</a:t>
          </a:r>
          <a:r>
            <a:rPr lang="nb-N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sheet for printing has a defined printable area, which should fit on an A4 sheet.</a:t>
          </a:r>
        </a:p>
        <a:p>
          <a:endParaRPr lang="nb-NO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You can save sheets directly as PDF files with </a:t>
          </a:r>
          <a:r>
            <a:rPr lang="nb-NO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File</a:t>
          </a:r>
          <a:r>
            <a:rPr lang="nb-N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→ </a:t>
          </a:r>
          <a:r>
            <a:rPr lang="nb-NO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Save As</a:t>
          </a:r>
          <a:r>
            <a:rPr lang="nb-NO" sz="110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nb-NO" sz="110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You can save multiple sheets to the same PDF, by first selecting them all while holding down the CTRL button.</a:t>
          </a:r>
        </a:p>
        <a:p>
          <a:endParaRPr lang="nb-NO" sz="110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Do not use the menu choice </a:t>
          </a:r>
          <a:r>
            <a:rPr lang="nb-NO" sz="1100" b="1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Save as Acrobat PDF</a:t>
          </a:r>
          <a:r>
            <a:rPr lang="nb-NO" sz="11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nb-N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This function has been found to create problems.</a:t>
          </a:r>
        </a:p>
        <a:p>
          <a:endParaRPr lang="nb-NO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1">
              <a:solidFill>
                <a:srgbClr val="444F55"/>
              </a:solidFill>
              <a:effectLst/>
              <a:latin typeface="+mn-lt"/>
              <a:ea typeface="+mn-ea"/>
              <a:cs typeface="+mn-cs"/>
            </a:rPr>
            <a:t>Workgroup</a:t>
          </a:r>
        </a:p>
        <a:p>
          <a:r>
            <a:rPr lang="nb-NO" sz="1100" baseline="0">
              <a:solidFill>
                <a:srgbClr val="008EC2"/>
              </a:solidFill>
              <a:effectLst/>
              <a:latin typeface="+mn-lt"/>
              <a:ea typeface="+mn-ea"/>
              <a:cs typeface="+mn-cs"/>
            </a:rPr>
            <a:t>Sigurdur Már Valsson     </a:t>
          </a:r>
          <a:r>
            <a:rPr lang="nb-NO" sz="1100" baseline="0">
              <a:solidFill>
                <a:srgbClr val="5DB82E"/>
              </a:solidFill>
              <a:effectLst/>
              <a:latin typeface="+mn-lt"/>
              <a:ea typeface="+mn-ea"/>
              <a:cs typeface="+mn-cs"/>
            </a:rPr>
            <a:t>Vegdirektoratet</a:t>
          </a:r>
          <a:r>
            <a:rPr lang="nb-N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nb-NO" sz="1100" baseline="0">
              <a:solidFill>
                <a:srgbClr val="FF9600"/>
              </a:solidFill>
              <a:effectLst/>
              <a:latin typeface="+mn-lt"/>
              <a:ea typeface="+mn-ea"/>
              <a:cs typeface="+mn-cs"/>
            </a:rPr>
            <a:t>sigurdur.mar.valsson@vegvesen.no</a:t>
          </a:r>
        </a:p>
        <a:p>
          <a:r>
            <a:rPr lang="nb-NO" sz="1100">
              <a:solidFill>
                <a:srgbClr val="008EC2"/>
              </a:solidFill>
              <a:effectLst/>
              <a:latin typeface="+mn-lt"/>
              <a:ea typeface="+mn-ea"/>
              <a:cs typeface="+mn-cs"/>
            </a:rPr>
            <a:t>Samson Degago </a:t>
          </a:r>
          <a:r>
            <a:rPr lang="nb-NO" sz="1100" baseline="0">
              <a:solidFill>
                <a:srgbClr val="008EC2"/>
              </a:solidFill>
              <a:effectLst/>
              <a:latin typeface="+mn-lt"/>
              <a:ea typeface="+mn-ea"/>
              <a:cs typeface="+mn-cs"/>
            </a:rPr>
            <a:t>              </a:t>
          </a:r>
          <a:r>
            <a:rPr lang="nb-NO" sz="1100">
              <a:solidFill>
                <a:srgbClr val="5DB82E"/>
              </a:solidFill>
              <a:effectLst/>
              <a:latin typeface="+mn-lt"/>
              <a:ea typeface="+mn-ea"/>
              <a:cs typeface="+mn-cs"/>
            </a:rPr>
            <a:t>Vegdirektoratet</a:t>
          </a:r>
          <a:r>
            <a:rPr lang="nb-NO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nb-NO" sz="1100" baseline="0">
              <a:solidFill>
                <a:srgbClr val="FF9600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nb-NO" sz="1100">
              <a:solidFill>
                <a:srgbClr val="FF9600"/>
              </a:solidFill>
              <a:effectLst/>
              <a:latin typeface="+mn-lt"/>
              <a:ea typeface="+mn-ea"/>
              <a:cs typeface="+mn-cs"/>
            </a:rPr>
            <a:t>samson.degago@vegvesen.no</a:t>
          </a:r>
        </a:p>
      </xdr:txBody>
    </xdr:sp>
    <xdr:clientData fPrint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723900</xdr:colOff>
      <xdr:row>31</xdr:row>
      <xdr:rowOff>76200</xdr:rowOff>
    </xdr:from>
    <xdr:ext cx="5543550" cy="474345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8524875" y="6276975"/>
          <a:ext cx="5543550" cy="4743450"/>
        </a:xfrm>
        <a:prstGeom prst="rect">
          <a:avLst/>
        </a:prstGeom>
        <a:solidFill>
          <a:srgbClr val="FAFAFA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nb-NO" sz="1100" b="1">
              <a:solidFill>
                <a:srgbClr val="444F55"/>
              </a:solidFill>
              <a:effectLst/>
              <a:latin typeface="+mn-lt"/>
              <a:ea typeface="+mn-ea"/>
              <a:cs typeface="+mn-cs"/>
            </a:rPr>
            <a:t>In-situ</a:t>
          </a:r>
          <a:r>
            <a:rPr lang="nb-NO" sz="1100" b="1" baseline="0">
              <a:solidFill>
                <a:srgbClr val="444F55"/>
              </a:solidFill>
              <a:effectLst/>
              <a:latin typeface="+mn-lt"/>
              <a:ea typeface="+mn-ea"/>
              <a:cs typeface="+mn-cs"/>
            </a:rPr>
            <a:t> stresses</a:t>
          </a:r>
          <a:endParaRPr lang="nb-NO" sz="1100" b="1">
            <a:solidFill>
              <a:srgbClr val="444F55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/>
            <a:t>This sheet is designed</a:t>
          </a:r>
          <a:r>
            <a:rPr lang="nb-NO" sz="1100" b="0" baseline="0"/>
            <a:t> to model soil stresses. Input in this sheet is directly used in calculation of all derived parameters. It is important to ensure that the stresses herein are as desired.</a:t>
          </a:r>
          <a:endParaRPr lang="nb-NO" sz="1100" b="0"/>
        </a:p>
        <a:p>
          <a:endParaRPr lang="nb-NO" sz="1100" b="0"/>
        </a:p>
        <a:p>
          <a:r>
            <a:rPr lang="nb-NO" sz="1100" b="1">
              <a:solidFill>
                <a:srgbClr val="444F55"/>
              </a:solidFill>
              <a:effectLst/>
              <a:latin typeface="+mn-lt"/>
              <a:ea typeface="+mn-ea"/>
              <a:cs typeface="+mn-cs"/>
            </a:rPr>
            <a:t>Want to change something?</a:t>
          </a:r>
          <a:endParaRPr lang="nb-NO">
            <a:solidFill>
              <a:srgbClr val="444F55"/>
            </a:solidFill>
            <a:effectLst/>
          </a:endParaRPr>
        </a:p>
        <a:p>
          <a:r>
            <a:rPr lang="nb-NO" sz="1100" b="0"/>
            <a:t>The tables to the right (grey) of the main figure are used to enter data into the sheet. You can specify 100 different values against depth in</a:t>
          </a:r>
          <a:r>
            <a:rPr lang="nb-NO" sz="1100" b="0" baseline="0"/>
            <a:t> both tables.</a:t>
          </a:r>
        </a:p>
        <a:p>
          <a:endParaRPr lang="nb-NO" sz="1100" b="0" baseline="0"/>
        </a:p>
        <a:p>
          <a:r>
            <a:rPr lang="nb-NO" sz="1100" b="0" baseline="0"/>
            <a:t>Sharp transitions should be defined using more than one point</a:t>
          </a:r>
          <a:endParaRPr lang="nb-NO" sz="1100" b="0"/>
        </a:p>
        <a:p>
          <a:endParaRPr lang="nb-NO" sz="1100" b="0" baseline="0"/>
        </a:p>
        <a:p>
          <a:r>
            <a:rPr lang="nb-NO" sz="1100" b="1" baseline="0">
              <a:solidFill>
                <a:srgbClr val="008EC2"/>
              </a:solidFill>
            </a:rPr>
            <a:t>Groundwater / in-situ pore pressure</a:t>
          </a:r>
          <a:endParaRPr lang="nb-NO" sz="1100" b="0" baseline="0"/>
        </a:p>
        <a:p>
          <a:r>
            <a:rPr lang="nb-NO" sz="1100" b="0" baseline="0"/>
            <a:t>First line in this table is the ground water level. The GWL is assumed to have 0kPa pore pressure</a:t>
          </a:r>
          <a:r>
            <a:rPr lang="nb-NO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nb-NO" sz="1100" b="0" baseline="0"/>
        </a:p>
        <a:p>
          <a:endParaRPr lang="nb-NO" sz="1100" b="0" baseline="0"/>
        </a:p>
        <a:p>
          <a:r>
            <a:rPr lang="nb-NO" sz="1100" b="0" baseline="0"/>
            <a:t>The following lines can be used to model pore pressures against depth. If omitted, a hydrostatic pore pressure is assumed from GWL. Hydrostatic pore pressure distribution is assumed below last value in table.</a:t>
          </a:r>
        </a:p>
        <a:p>
          <a:endParaRPr lang="nb-NO" sz="1100" b="0"/>
        </a:p>
        <a:p>
          <a:r>
            <a:rPr lang="nb-NO" sz="1100" b="1">
              <a:solidFill>
                <a:srgbClr val="008EC2"/>
              </a:solidFill>
            </a:rPr>
            <a:t>Soil unit weight</a:t>
          </a:r>
        </a:p>
        <a:p>
          <a:r>
            <a:rPr lang="nb-NO" sz="1100" b="0" baseline="0"/>
            <a:t>This is where you can put information on soil unit weight with depth. Values are interpolated linearly between registrations.  The first 6 lines can be placed above any predrilling depth, if you have more data than this you need to smooth this out so test starts at correct total stress.</a:t>
          </a:r>
        </a:p>
        <a:p>
          <a:endParaRPr lang="nb-NO" sz="1100" b="0" baseline="0"/>
        </a:p>
        <a:p>
          <a:r>
            <a:rPr lang="nb-NO" sz="1100" b="0" baseline="0"/>
            <a:t>Check figure to right if unit weights are modelled as intended.</a:t>
          </a:r>
        </a:p>
        <a:p>
          <a:endParaRPr lang="nb-NO" sz="1100" b="0" baseline="0"/>
        </a:p>
        <a:p>
          <a:r>
            <a:rPr lang="nb-NO" sz="1100" b="0" baseline="0"/>
            <a:t>Unlike the porepressure diagram, the last value in table applies for all depths below (no interpolation further down)</a:t>
          </a:r>
        </a:p>
      </xdr:txBody>
    </xdr:sp>
    <xdr:clientData fPrintsWithSheet="0"/>
  </xdr:oneCellAnchor>
  <xdr:twoCellAnchor editAs="oneCell">
    <xdr:from>
      <xdr:col>0</xdr:col>
      <xdr:colOff>183187</xdr:colOff>
      <xdr:row>48</xdr:row>
      <xdr:rowOff>64770</xdr:rowOff>
    </xdr:from>
    <xdr:to>
      <xdr:col>1</xdr:col>
      <xdr:colOff>512137</xdr:colOff>
      <xdr:row>51</xdr:row>
      <xdr:rowOff>11430</xdr:rowOff>
    </xdr:to>
    <xdr:pic>
      <xdr:nvPicPr>
        <xdr:cNvPr id="8" name="LOGO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187" y="9589770"/>
          <a:ext cx="986175" cy="518160"/>
        </a:xfrm>
        <a:prstGeom prst="rect">
          <a:avLst/>
        </a:prstGeom>
      </xdr:spPr>
    </xdr:pic>
    <xdr:clientData/>
  </xdr:twoCellAnchor>
  <xdr:twoCellAnchor>
    <xdr:from>
      <xdr:col>0</xdr:col>
      <xdr:colOff>19049</xdr:colOff>
      <xdr:row>0</xdr:row>
      <xdr:rowOff>23811</xdr:rowOff>
    </xdr:from>
    <xdr:to>
      <xdr:col>12</xdr:col>
      <xdr:colOff>476249</xdr:colOff>
      <xdr:row>42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495300</xdr:colOff>
      <xdr:row>3</xdr:row>
      <xdr:rowOff>190500</xdr:rowOff>
    </xdr:from>
    <xdr:to>
      <xdr:col>28</xdr:col>
      <xdr:colOff>311604</xdr:colOff>
      <xdr:row>28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491961</xdr:colOff>
      <xdr:row>0</xdr:row>
      <xdr:rowOff>23811</xdr:rowOff>
    </xdr:from>
    <xdr:to>
      <xdr:col>12</xdr:col>
      <xdr:colOff>411839</xdr:colOff>
      <xdr:row>42</xdr:row>
      <xdr:rowOff>180975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186243</xdr:colOff>
      <xdr:row>0</xdr:row>
      <xdr:rowOff>23811</xdr:rowOff>
    </xdr:from>
    <xdr:to>
      <xdr:col>13</xdr:col>
      <xdr:colOff>15603</xdr:colOff>
      <xdr:row>42</xdr:row>
      <xdr:rowOff>180975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71184</xdr:colOff>
      <xdr:row>0</xdr:row>
      <xdr:rowOff>23811</xdr:rowOff>
    </xdr:from>
    <xdr:to>
      <xdr:col>13</xdr:col>
      <xdr:colOff>39360</xdr:colOff>
      <xdr:row>42</xdr:row>
      <xdr:rowOff>180975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183187</xdr:colOff>
      <xdr:row>48</xdr:row>
      <xdr:rowOff>64770</xdr:rowOff>
    </xdr:from>
    <xdr:to>
      <xdr:col>1</xdr:col>
      <xdr:colOff>512137</xdr:colOff>
      <xdr:row>51</xdr:row>
      <xdr:rowOff>11430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187" y="9789795"/>
          <a:ext cx="986175" cy="518160"/>
        </a:xfrm>
        <a:prstGeom prst="rect">
          <a:avLst/>
        </a:prstGeom>
      </xdr:spPr>
    </xdr:pic>
    <xdr:clientData/>
  </xdr:twoCellAnchor>
  <xdr:twoCellAnchor>
    <xdr:from>
      <xdr:col>0</xdr:col>
      <xdr:colOff>19050</xdr:colOff>
      <xdr:row>0</xdr:row>
      <xdr:rowOff>23811</xdr:rowOff>
    </xdr:from>
    <xdr:to>
      <xdr:col>4</xdr:col>
      <xdr:colOff>571500</xdr:colOff>
      <xdr:row>42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604570</xdr:colOff>
      <xdr:row>0</xdr:row>
      <xdr:rowOff>23811</xdr:rowOff>
    </xdr:from>
    <xdr:to>
      <xdr:col>4</xdr:col>
      <xdr:colOff>634505</xdr:colOff>
      <xdr:row>42</xdr:row>
      <xdr:rowOff>180975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166352</xdr:colOff>
      <xdr:row>0</xdr:row>
      <xdr:rowOff>23811</xdr:rowOff>
    </xdr:from>
    <xdr:to>
      <xdr:col>5</xdr:col>
      <xdr:colOff>196831</xdr:colOff>
      <xdr:row>42</xdr:row>
      <xdr:rowOff>180975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4</xdr:col>
      <xdr:colOff>28667</xdr:colOff>
      <xdr:row>38</xdr:row>
      <xdr:rowOff>147975</xdr:rowOff>
    </xdr:from>
    <xdr:ext cx="280205" cy="70128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 rot="16200000">
          <a:off x="2447029" y="7959463"/>
          <a:ext cx="701282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nb-NO" sz="1200">
              <a:solidFill>
                <a:srgbClr val="008EC2"/>
              </a:solidFill>
            </a:rPr>
            <a:t>Flushing</a:t>
          </a:r>
        </a:p>
      </xdr:txBody>
    </xdr:sp>
    <xdr:clientData/>
  </xdr:oneCellAnchor>
  <xdr:oneCellAnchor>
    <xdr:from>
      <xdr:col>4</xdr:col>
      <xdr:colOff>245305</xdr:colOff>
      <xdr:row>38</xdr:row>
      <xdr:rowOff>152177</xdr:rowOff>
    </xdr:from>
    <xdr:ext cx="280205" cy="91897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 rot="16200000">
          <a:off x="2554823" y="8072509"/>
          <a:ext cx="9189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nb-NO" sz="1200">
              <a:solidFill>
                <a:srgbClr val="444F55"/>
              </a:solidFill>
            </a:rPr>
            <a:t>Hammering</a:t>
          </a:r>
        </a:p>
      </xdr:txBody>
    </xdr:sp>
    <xdr:clientData/>
  </xdr:oneCellAnchor>
  <xdr:oneCellAnchor>
    <xdr:from>
      <xdr:col>9</xdr:col>
      <xdr:colOff>225290</xdr:colOff>
      <xdr:row>40</xdr:row>
      <xdr:rowOff>17764</xdr:rowOff>
    </xdr:from>
    <xdr:ext cx="897939" cy="565283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568815" y="8018764"/>
          <a:ext cx="897939" cy="5652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nb-NO" sz="1200">
              <a:solidFill>
                <a:srgbClr val="444F55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Increased</a:t>
          </a:r>
          <a:br>
            <a:rPr lang="nb-NO" sz="1200">
              <a:solidFill>
                <a:srgbClr val="444F55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</a:br>
          <a:r>
            <a:rPr lang="nb-NO" sz="1200">
              <a:solidFill>
                <a:srgbClr val="444F55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rotation</a:t>
          </a:r>
        </a:p>
      </xdr:txBody>
    </xdr:sp>
    <xdr:clientData/>
  </xdr:oneCellAnchor>
  <xdr:twoCellAnchor>
    <xdr:from>
      <xdr:col>24</xdr:col>
      <xdr:colOff>390525</xdr:colOff>
      <xdr:row>1</xdr:row>
      <xdr:rowOff>14287</xdr:rowOff>
    </xdr:from>
    <xdr:to>
      <xdr:col>28</xdr:col>
      <xdr:colOff>295275</xdr:colOff>
      <xdr:row>30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28</xdr:col>
      <xdr:colOff>276225</xdr:colOff>
      <xdr:row>1</xdr:row>
      <xdr:rowOff>14287</xdr:rowOff>
    </xdr:from>
    <xdr:to>
      <xdr:col>32</xdr:col>
      <xdr:colOff>180975</xdr:colOff>
      <xdr:row>30</xdr:row>
      <xdr:rowOff>19050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32</xdr:col>
      <xdr:colOff>180975</xdr:colOff>
      <xdr:row>1</xdr:row>
      <xdr:rowOff>14287</xdr:rowOff>
    </xdr:from>
    <xdr:to>
      <xdr:col>36</xdr:col>
      <xdr:colOff>85725</xdr:colOff>
      <xdr:row>30</xdr:row>
      <xdr:rowOff>19050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14</xdr:col>
      <xdr:colOff>561975</xdr:colOff>
      <xdr:row>19</xdr:row>
      <xdr:rowOff>104776</xdr:rowOff>
    </xdr:from>
    <xdr:ext cx="5543550" cy="421005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7753350" y="3905251"/>
          <a:ext cx="5543550" cy="4210050"/>
        </a:xfrm>
        <a:prstGeom prst="rect">
          <a:avLst/>
        </a:prstGeom>
        <a:solidFill>
          <a:srgbClr val="FAFAFA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nb-NO" sz="1100" b="1">
              <a:solidFill>
                <a:srgbClr val="444F55"/>
              </a:solidFill>
              <a:effectLst/>
              <a:latin typeface="+mn-lt"/>
              <a:ea typeface="+mn-ea"/>
              <a:cs typeface="+mn-cs"/>
            </a:rPr>
            <a:t>Sounding profile plot</a:t>
          </a:r>
        </a:p>
        <a:p>
          <a:r>
            <a:rPr lang="nb-NO" sz="1100" b="0"/>
            <a:t>This figure presents</a:t>
          </a:r>
          <a:r>
            <a:rPr lang="nb-NO" sz="1100" b="0" baseline="0"/>
            <a:t> the sounding profile, showing 6 variables against depth.</a:t>
          </a:r>
        </a:p>
        <a:p>
          <a:endParaRPr lang="nb-NO" sz="1100" b="0" baseline="0"/>
        </a:p>
        <a:p>
          <a:r>
            <a:rPr lang="nb-NO" sz="1100" b="0" baseline="0"/>
            <a:t>Note the split scale of the F</a:t>
          </a:r>
          <a:r>
            <a:rPr lang="nb-NO" sz="1100" b="0" baseline="-25000"/>
            <a:t>DT</a:t>
          </a:r>
          <a:r>
            <a:rPr lang="nb-NO" sz="1100" b="0" baseline="0"/>
            <a:t> figure, with 0-10kN on left side and 10-30kN on right.</a:t>
          </a:r>
        </a:p>
        <a:p>
          <a:r>
            <a:rPr lang="nb-NO" sz="1100" b="0" baseline="0"/>
            <a:t>This sheet offers some choices to correct figures (shift values/set thresholds).</a:t>
          </a:r>
        </a:p>
        <a:p>
          <a:endParaRPr lang="nb-NO" sz="1100" b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nb-NO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Check results carefully to make shure data used in models is as correct as possible</a:t>
          </a:r>
        </a:p>
        <a:p>
          <a:endParaRPr lang="nb-NO" sz="1100" b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nb-NO" sz="1100" b="1">
              <a:solidFill>
                <a:srgbClr val="444F55"/>
              </a:solidFill>
              <a:effectLst/>
              <a:latin typeface="+mn-lt"/>
              <a:ea typeface="+mn-ea"/>
              <a:cs typeface="+mn-cs"/>
            </a:rPr>
            <a:t>Want to edit?</a:t>
          </a:r>
          <a:endParaRPr lang="nb-NO">
            <a:solidFill>
              <a:srgbClr val="444F55"/>
            </a:solidFill>
            <a:effectLst/>
          </a:endParaRPr>
        </a:p>
        <a:p>
          <a:r>
            <a:rPr lang="nb-NO" sz="1100" b="0"/>
            <a:t>The </a:t>
          </a:r>
          <a:r>
            <a:rPr lang="nb-NO" sz="1100" b="0" baseline="0"/>
            <a:t>values in these tables are presented as suggested values.</a:t>
          </a:r>
        </a:p>
        <a:p>
          <a:r>
            <a:rPr lang="nb-NO" sz="1100" b="0" baseline="0"/>
            <a:t>Changes made to column Q will affect the presentation of the sounding, as well as the</a:t>
          </a:r>
        </a:p>
        <a:p>
          <a:r>
            <a:rPr lang="nb-NO" sz="1100" b="0" baseline="0"/>
            <a:t>interpretation in the following sheets.</a:t>
          </a:r>
        </a:p>
        <a:p>
          <a:endParaRPr lang="nb-NO" sz="1100" b="0" baseline="0"/>
        </a:p>
        <a:p>
          <a:r>
            <a:rPr lang="nb-NO" sz="1100" b="1" baseline="0">
              <a:solidFill>
                <a:srgbClr val="008EC2"/>
              </a:solidFill>
            </a:rPr>
            <a:t>Zero corrections</a:t>
          </a:r>
        </a:p>
        <a:p>
          <a:r>
            <a:rPr lang="nb-NO" sz="1100" b="0" baseline="0"/>
            <a:t>Values in Q-column are subtracted from the raw measurements before interpretation, and only apply to sounding data (stress calcs. not affected by shift in D).</a:t>
          </a:r>
        </a:p>
        <a:p>
          <a:endParaRPr lang="nb-NO" sz="1100" b="0"/>
        </a:p>
        <a:p>
          <a:endParaRPr lang="nb-NO" sz="1100" b="0"/>
        </a:p>
        <a:p>
          <a:r>
            <a:rPr lang="nb-NO" sz="1100" b="1">
              <a:solidFill>
                <a:srgbClr val="008EC2"/>
              </a:solidFill>
            </a:rPr>
            <a:t>Threshold values</a:t>
          </a:r>
        </a:p>
        <a:p>
          <a:r>
            <a:rPr lang="nb-NO" sz="1100" b="0" baseline="0"/>
            <a:t>Values define thresholds for interpretation, and works with binary phase registration column from data-file (if either is true -&gt; phase assumed ON)</a:t>
          </a:r>
        </a:p>
        <a:p>
          <a:endParaRPr lang="nb-NO" sz="1100" b="0" baseline="0"/>
        </a:p>
        <a:p>
          <a:r>
            <a:rPr lang="nb-NO" sz="1100" b="0" baseline="0"/>
            <a:t>Figures to right to assist with interpretation.</a:t>
          </a:r>
        </a:p>
      </xdr:txBody>
    </xdr:sp>
    <xdr:clientData fPrint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183187</xdr:colOff>
      <xdr:row>48</xdr:row>
      <xdr:rowOff>64770</xdr:rowOff>
    </xdr:from>
    <xdr:to>
      <xdr:col>1</xdr:col>
      <xdr:colOff>512137</xdr:colOff>
      <xdr:row>51</xdr:row>
      <xdr:rowOff>11430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187" y="9789795"/>
          <a:ext cx="986175" cy="518160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23811</xdr:rowOff>
    </xdr:from>
    <xdr:to>
      <xdr:col>4</xdr:col>
      <xdr:colOff>628650</xdr:colOff>
      <xdr:row>32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14</xdr:col>
      <xdr:colOff>485775</xdr:colOff>
      <xdr:row>31</xdr:row>
      <xdr:rowOff>76200</xdr:rowOff>
    </xdr:from>
    <xdr:ext cx="6153149" cy="233362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7677150" y="6276975"/>
          <a:ext cx="6153149" cy="2333625"/>
        </a:xfrm>
        <a:prstGeom prst="rect">
          <a:avLst/>
        </a:prstGeom>
        <a:solidFill>
          <a:srgbClr val="FAFAFA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nb-NO" sz="1100" b="1">
              <a:solidFill>
                <a:srgbClr val="444F55"/>
              </a:solidFill>
              <a:effectLst/>
              <a:latin typeface="+mn-lt"/>
              <a:ea typeface="+mn-ea"/>
              <a:cs typeface="+mn-cs"/>
            </a:rPr>
            <a:t>Soil classification</a:t>
          </a:r>
        </a:p>
        <a:p>
          <a:r>
            <a:rPr lang="nb-NO" sz="1100" b="0"/>
            <a:t>The sounding</a:t>
          </a:r>
          <a:r>
            <a:rPr lang="nb-NO" sz="1100" b="0" baseline="0"/>
            <a:t> profile is used to classify each datapoint with the given model. Models that must be run with a program are started using a button.</a:t>
          </a:r>
        </a:p>
        <a:p>
          <a:endParaRPr lang="nb-NO" sz="1100" b="0" baseline="0"/>
        </a:p>
        <a:p>
          <a:r>
            <a:rPr lang="nb-NO" sz="1100" b="1" baseline="0">
              <a:solidFill>
                <a:srgbClr val="008EC2"/>
              </a:solidFill>
              <a:effectLst/>
              <a:latin typeface="+mn-lt"/>
              <a:ea typeface="+mn-ea"/>
              <a:cs typeface="+mn-cs"/>
            </a:rPr>
            <a:t>Presentastion using tiles in </a:t>
          </a:r>
          <a:r>
            <a:rPr lang="nb-NO" sz="1100" b="1" baseline="0">
              <a:solidFill>
                <a:srgbClr val="5DB82E"/>
              </a:solidFill>
              <a:effectLst/>
              <a:latin typeface="+mn-lt"/>
              <a:ea typeface="+mn-ea"/>
              <a:cs typeface="+mn-cs"/>
            </a:rPr>
            <a:t>Excel</a:t>
          </a:r>
          <a:endParaRPr lang="nb-NO">
            <a:solidFill>
              <a:srgbClr val="5DB82E"/>
            </a:solidFill>
            <a:effectLst/>
          </a:endParaRPr>
        </a:p>
        <a:p>
          <a:r>
            <a:rPr lang="nb-N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classification result is visualized using a binary scatterplot graph and different colored tiles for each class.</a:t>
          </a:r>
        </a:p>
        <a:p>
          <a:endParaRPr lang="nb-NO">
            <a:effectLst/>
          </a:endParaRPr>
        </a:p>
        <a:p>
          <a:r>
            <a:rPr lang="nb-NO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Depth intervals with flushing and hammering are washed out by defauilt.</a:t>
          </a:r>
          <a:endParaRPr lang="nb-NO">
            <a:effectLst/>
          </a:endParaRPr>
        </a:p>
        <a:p>
          <a:endParaRPr lang="nb-NO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tile approach makes the presentation dynamic and no limit is on the number of layers that can be presented. The downside is that it requires one (</a:t>
          </a:r>
          <a:r>
            <a:rPr lang="nb-NO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presentation</a:t>
          </a:r>
          <a:r>
            <a:rPr lang="nb-NO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column pr. class in the calculation sheet.</a:t>
          </a:r>
          <a:endParaRPr lang="nb-NO">
            <a:effectLst/>
          </a:endParaRPr>
        </a:p>
      </xdr:txBody>
    </xdr:sp>
    <xdr:clientData fPrintsWithSheet="0"/>
  </xdr:oneCellAnchor>
  <xdr:twoCellAnchor>
    <xdr:from>
      <xdr:col>0</xdr:col>
      <xdr:colOff>52386</xdr:colOff>
      <xdr:row>32</xdr:row>
      <xdr:rowOff>123825</xdr:rowOff>
    </xdr:from>
    <xdr:to>
      <xdr:col>4</xdr:col>
      <xdr:colOff>628649</xdr:colOff>
      <xdr:row>43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19050</xdr:colOff>
      <xdr:row>0</xdr:row>
      <xdr:rowOff>23811</xdr:rowOff>
    </xdr:from>
    <xdr:to>
      <xdr:col>11</xdr:col>
      <xdr:colOff>19050</xdr:colOff>
      <xdr:row>32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0</xdr:col>
      <xdr:colOff>57147</xdr:colOff>
      <xdr:row>0</xdr:row>
      <xdr:rowOff>47625</xdr:rowOff>
    </xdr:from>
    <xdr:ext cx="3154976" cy="216791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57147" y="47625"/>
          <a:ext cx="3154976" cy="21679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nb-NO" sz="1100" b="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Valsson, Degago, Eiksund 2024,</a:t>
          </a:r>
          <a:r>
            <a:rPr lang="nb-NO" sz="1100" b="0" baseline="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 </a:t>
          </a:r>
          <a:r>
            <a:rPr lang="nb-NO" sz="1100" b="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q</a:t>
          </a:r>
          <a:r>
            <a:rPr lang="nb-NO" sz="1100" b="0" baseline="-2500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ns</a:t>
          </a:r>
          <a:r>
            <a:rPr lang="nb-NO" sz="1100" b="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 -</a:t>
          </a:r>
          <a:r>
            <a:rPr lang="nb-NO" sz="1100" b="0" baseline="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 </a:t>
          </a:r>
          <a:r>
            <a:rPr lang="nb-NO" sz="1100" b="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std(F</a:t>
          </a:r>
          <a:r>
            <a:rPr lang="nb-NO" sz="1100" b="0" baseline="-2500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DT</a:t>
          </a:r>
          <a:r>
            <a:rPr lang="nb-NO" sz="1100" b="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)</a:t>
          </a:r>
        </a:p>
      </xdr:txBody>
    </xdr:sp>
    <xdr:clientData/>
  </xdr:oneCellAnchor>
  <xdr:oneCellAnchor>
    <xdr:from>
      <xdr:col>6</xdr:col>
      <xdr:colOff>115123</xdr:colOff>
      <xdr:row>0</xdr:row>
      <xdr:rowOff>47625</xdr:rowOff>
    </xdr:from>
    <xdr:ext cx="1649509" cy="216791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4055465" y="47625"/>
          <a:ext cx="1649509" cy="21679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nb-NO" sz="1100" b="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Quick clay screening,  P</a:t>
          </a:r>
        </a:p>
      </xdr:txBody>
    </xdr:sp>
    <xdr:clientData/>
  </xdr:oneCellAnchor>
  <xdr:twoCellAnchor>
    <xdr:from>
      <xdr:col>9</xdr:col>
      <xdr:colOff>419100</xdr:colOff>
      <xdr:row>0</xdr:row>
      <xdr:rowOff>23811</xdr:rowOff>
    </xdr:from>
    <xdr:to>
      <xdr:col>12</xdr:col>
      <xdr:colOff>466725</xdr:colOff>
      <xdr:row>32</xdr:row>
      <xdr:rowOff>133350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11</xdr:col>
      <xdr:colOff>114392</xdr:colOff>
      <xdr:row>0</xdr:row>
      <xdr:rowOff>47625</xdr:rowOff>
    </xdr:from>
    <xdr:ext cx="380817" cy="216791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6048467" y="47625"/>
          <a:ext cx="380817" cy="21679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nb-NO" sz="1100" b="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P &gt; t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</xdr:row>
          <xdr:rowOff>9525</xdr:rowOff>
        </xdr:from>
        <xdr:to>
          <xdr:col>15</xdr:col>
          <xdr:colOff>542925</xdr:colOff>
          <xdr:row>1</xdr:row>
          <xdr:rowOff>200025</xdr:rowOff>
        </xdr:to>
        <xdr:sp macro="" textlink="">
          <xdr:nvSpPr>
            <xdr:cNvPr id="10243" name="read_file_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Lucida Sans Unicode"/>
                  <a:cs typeface="Lucida Sans Unicode"/>
                </a:rPr>
                <a:t>Classify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0.51775</cdr:x>
      <cdr:y>0.05</cdr:y>
    </cdr:from>
    <cdr:to>
      <cdr:x>1</cdr:x>
      <cdr:y>0.88284</cdr:y>
    </cdr:to>
    <cdr:pic>
      <cdr:nvPicPr>
        <cdr:cNvPr id="5" name="Picture 4">
          <a:extLst xmlns:a="http://schemas.openxmlformats.org/drawingml/2006/main">
            <a:ext uri="{FF2B5EF4-FFF2-40B4-BE49-F238E27FC236}">
              <a16:creationId xmlns:a16="http://schemas.microsoft.com/office/drawing/2014/main" id="{850B3BF3-5940-1B4E-8D7F-93C19FC2143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1661939" y="325530"/>
          <a:ext cx="1547986" cy="5422044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0.18524</cdr:x>
      <cdr:y>0.05911</cdr:y>
    </cdr:from>
    <cdr:to>
      <cdr:x>0.91828</cdr:x>
      <cdr:y>0.67102</cdr:y>
    </cdr:to>
    <cdr:grpSp>
      <cdr:nvGrpSpPr>
        <cdr:cNvPr id="12" name="Group 11">
          <a:extLst xmlns:a="http://schemas.openxmlformats.org/drawingml/2006/main">
            <a:ext uri="{FF2B5EF4-FFF2-40B4-BE49-F238E27FC236}">
              <a16:creationId xmlns:a16="http://schemas.microsoft.com/office/drawing/2014/main" id="{208C9E5D-52E2-3450-67E6-717BD474B7E4}"/>
            </a:ext>
          </a:extLst>
        </cdr:cNvPr>
        <cdr:cNvGrpSpPr/>
      </cdr:nvGrpSpPr>
      <cdr:grpSpPr>
        <a:xfrm xmlns:a="http://schemas.openxmlformats.org/drawingml/2006/main">
          <a:off x="593724" y="128932"/>
          <a:ext cx="2349513" cy="1334714"/>
          <a:chOff x="593220" y="129334"/>
          <a:chExt cx="2347504" cy="1359330"/>
        </a:xfrm>
      </cdr:grpSpPr>
      <cdr:sp macro="" textlink="">
        <cdr:nvSpPr>
          <cdr:cNvPr id="2" name="TextBox 2">
            <a:extLst xmlns:a="http://schemas.openxmlformats.org/drawingml/2006/main">
              <a:ext uri="{FF2B5EF4-FFF2-40B4-BE49-F238E27FC236}">
                <a16:creationId xmlns:a16="http://schemas.microsoft.com/office/drawing/2014/main" id="{00000000-0008-0000-1100-000003000000}"/>
              </a:ext>
            </a:extLst>
          </cdr:cNvPr>
          <cdr:cNvSpPr txBox="1"/>
        </cdr:nvSpPr>
        <cdr:spPr>
          <a:xfrm xmlns:a="http://schemas.openxmlformats.org/drawingml/2006/main">
            <a:off x="612243" y="1311308"/>
            <a:ext cx="72969" cy="177356"/>
          </a:xfrm>
          <a:prstGeom xmlns:a="http://schemas.openxmlformats.org/drawingml/2006/main" prst="rect">
            <a:avLst/>
          </a:prstGeom>
          <a:noFill xmlns:a="http://schemas.openxmlformats.org/drawingml/2006/main"/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wrap="none" lIns="0" tIns="0" rIns="0" bIns="0" rtlCol="0" anchor="t">
            <a:spAutoFit/>
          </a:bodyPr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is-IS" sz="900">
                <a:latin typeface="Lucida Sans Unicode" panose="020B0602030504020204" pitchFamily="34" charset="0"/>
                <a:cs typeface="Lucida Sans Unicode" panose="020B0602030504020204" pitchFamily="34" charset="0"/>
              </a:rPr>
              <a:t>1</a:t>
            </a:r>
          </a:p>
        </cdr:txBody>
      </cdr:sp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00000000-0008-0000-1100-000003000000}"/>
              </a:ext>
            </a:extLst>
          </cdr:cNvPr>
          <cdr:cNvSpPr txBox="1"/>
        </cdr:nvSpPr>
        <cdr:spPr>
          <a:xfrm xmlns:a="http://schemas.openxmlformats.org/drawingml/2006/main">
            <a:off x="1588953" y="968444"/>
            <a:ext cx="72969" cy="177356"/>
          </a:xfrm>
          <a:prstGeom xmlns:a="http://schemas.openxmlformats.org/drawingml/2006/main" prst="rect">
            <a:avLst/>
          </a:prstGeom>
          <a:noFill xmlns:a="http://schemas.openxmlformats.org/drawingml/2006/main"/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wrap="none" lIns="0" tIns="0" rIns="0" bIns="0" rtlCol="0" anchor="t">
            <a:spAutoFit/>
          </a:bodyPr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is-IS" sz="900">
                <a:latin typeface="Lucida Sans Unicode" panose="020B0602030504020204" pitchFamily="34" charset="0"/>
                <a:cs typeface="Lucida Sans Unicode" panose="020B0602030504020204" pitchFamily="34" charset="0"/>
              </a:rPr>
              <a:t>2</a:t>
            </a:r>
          </a:p>
        </cdr:txBody>
      </cdr:sp>
      <cdr:sp macro="" textlink="">
        <cdr:nvSpPr>
          <cdr:cNvPr id="4" name="TextBox 2">
            <a:extLst xmlns:a="http://schemas.openxmlformats.org/drawingml/2006/main">
              <a:ext uri="{FF2B5EF4-FFF2-40B4-BE49-F238E27FC236}">
                <a16:creationId xmlns:a16="http://schemas.microsoft.com/office/drawing/2014/main" id="{00000000-0008-0000-1100-000003000000}"/>
              </a:ext>
            </a:extLst>
          </cdr:cNvPr>
          <cdr:cNvSpPr txBox="1"/>
        </cdr:nvSpPr>
        <cdr:spPr>
          <a:xfrm xmlns:a="http://schemas.openxmlformats.org/drawingml/2006/main">
            <a:off x="1588953" y="797011"/>
            <a:ext cx="72969" cy="177356"/>
          </a:xfrm>
          <a:prstGeom xmlns:a="http://schemas.openxmlformats.org/drawingml/2006/main" prst="rect">
            <a:avLst/>
          </a:prstGeom>
          <a:noFill xmlns:a="http://schemas.openxmlformats.org/drawingml/2006/main"/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wrap="none" lIns="0" tIns="0" rIns="0" bIns="0" rtlCol="0" anchor="t">
            <a:spAutoFit/>
          </a:bodyPr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is-IS" sz="900">
                <a:latin typeface="Lucida Sans Unicode" panose="020B0602030504020204" pitchFamily="34" charset="0"/>
                <a:cs typeface="Lucida Sans Unicode" panose="020B0602030504020204" pitchFamily="34" charset="0"/>
              </a:rPr>
              <a:t>3</a:t>
            </a:r>
          </a:p>
        </cdr:txBody>
      </cdr:sp>
      <cdr:sp macro="" textlink="">
        <cdr:nvSpPr>
          <cdr:cNvPr id="5" name="TextBox 2">
            <a:extLst xmlns:a="http://schemas.openxmlformats.org/drawingml/2006/main">
              <a:ext uri="{FF2B5EF4-FFF2-40B4-BE49-F238E27FC236}">
                <a16:creationId xmlns:a16="http://schemas.microsoft.com/office/drawing/2014/main" id="{00000000-0008-0000-1100-000003000000}"/>
              </a:ext>
            </a:extLst>
          </cdr:cNvPr>
          <cdr:cNvSpPr txBox="1"/>
        </cdr:nvSpPr>
        <cdr:spPr>
          <a:xfrm xmlns:a="http://schemas.openxmlformats.org/drawingml/2006/main">
            <a:off x="2867755" y="643631"/>
            <a:ext cx="72969" cy="177356"/>
          </a:xfrm>
          <a:prstGeom xmlns:a="http://schemas.openxmlformats.org/drawingml/2006/main" prst="rect">
            <a:avLst/>
          </a:prstGeom>
          <a:noFill xmlns:a="http://schemas.openxmlformats.org/drawingml/2006/main"/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wrap="none" lIns="0" tIns="0" rIns="0" bIns="0" rtlCol="0" anchor="t">
            <a:spAutoFit/>
          </a:bodyPr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is-IS" sz="900">
                <a:latin typeface="Lucida Sans Unicode" panose="020B0602030504020204" pitchFamily="34" charset="0"/>
                <a:cs typeface="Lucida Sans Unicode" panose="020B0602030504020204" pitchFamily="34" charset="0"/>
              </a:rPr>
              <a:t>8</a:t>
            </a:r>
          </a:p>
        </cdr:txBody>
      </cdr:sp>
      <cdr:sp macro="" textlink="">
        <cdr:nvSpPr>
          <cdr:cNvPr id="6" name="TextBox 2">
            <a:extLst xmlns:a="http://schemas.openxmlformats.org/drawingml/2006/main">
              <a:ext uri="{FF2B5EF4-FFF2-40B4-BE49-F238E27FC236}">
                <a16:creationId xmlns:a16="http://schemas.microsoft.com/office/drawing/2014/main" id="{00000000-0008-0000-1100-000003000000}"/>
              </a:ext>
            </a:extLst>
          </cdr:cNvPr>
          <cdr:cNvSpPr txBox="1"/>
        </cdr:nvSpPr>
        <cdr:spPr>
          <a:xfrm xmlns:a="http://schemas.openxmlformats.org/drawingml/2006/main">
            <a:off x="602732" y="760931"/>
            <a:ext cx="72969" cy="177356"/>
          </a:xfrm>
          <a:prstGeom xmlns:a="http://schemas.openxmlformats.org/drawingml/2006/main" prst="rect">
            <a:avLst/>
          </a:prstGeom>
          <a:noFill xmlns:a="http://schemas.openxmlformats.org/drawingml/2006/main"/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wrap="none" lIns="0" tIns="0" rIns="0" bIns="0" rtlCol="0" anchor="t">
            <a:spAutoFit/>
          </a:bodyPr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is-IS" sz="900">
                <a:latin typeface="Lucida Sans Unicode" panose="020B0602030504020204" pitchFamily="34" charset="0"/>
                <a:cs typeface="Lucida Sans Unicode" panose="020B0602030504020204" pitchFamily="34" charset="0"/>
              </a:rPr>
              <a:t>4</a:t>
            </a:r>
          </a:p>
        </cdr:txBody>
      </cdr:sp>
      <cdr:sp macro="" textlink="">
        <cdr:nvSpPr>
          <cdr:cNvPr id="7" name="TextBox 2">
            <a:extLst xmlns:a="http://schemas.openxmlformats.org/drawingml/2006/main">
              <a:ext uri="{FF2B5EF4-FFF2-40B4-BE49-F238E27FC236}">
                <a16:creationId xmlns:a16="http://schemas.microsoft.com/office/drawing/2014/main" id="{00000000-0008-0000-1100-000003000000}"/>
              </a:ext>
            </a:extLst>
          </cdr:cNvPr>
          <cdr:cNvSpPr txBox="1"/>
        </cdr:nvSpPr>
        <cdr:spPr>
          <a:xfrm xmlns:a="http://schemas.openxmlformats.org/drawingml/2006/main">
            <a:off x="593220" y="129334"/>
            <a:ext cx="72969" cy="177356"/>
          </a:xfrm>
          <a:prstGeom xmlns:a="http://schemas.openxmlformats.org/drawingml/2006/main" prst="rect">
            <a:avLst/>
          </a:prstGeom>
          <a:noFill xmlns:a="http://schemas.openxmlformats.org/drawingml/2006/main"/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wrap="none" lIns="0" tIns="0" rIns="0" bIns="0" rtlCol="0" anchor="t">
            <a:spAutoFit/>
          </a:bodyPr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is-IS" sz="900">
                <a:latin typeface="Lucida Sans Unicode" panose="020B0602030504020204" pitchFamily="34" charset="0"/>
                <a:cs typeface="Lucida Sans Unicode" panose="020B0602030504020204" pitchFamily="34" charset="0"/>
              </a:rPr>
              <a:t>5</a:t>
            </a:r>
          </a:p>
        </cdr:txBody>
      </cdr:sp>
      <cdr:sp macro="" textlink="">
        <cdr:nvSpPr>
          <cdr:cNvPr id="8" name="TextBox 2">
            <a:extLst xmlns:a="http://schemas.openxmlformats.org/drawingml/2006/main">
              <a:ext uri="{FF2B5EF4-FFF2-40B4-BE49-F238E27FC236}">
                <a16:creationId xmlns:a16="http://schemas.microsoft.com/office/drawing/2014/main" id="{00000000-0008-0000-1100-000003000000}"/>
              </a:ext>
            </a:extLst>
          </cdr:cNvPr>
          <cdr:cNvSpPr txBox="1"/>
        </cdr:nvSpPr>
        <cdr:spPr>
          <a:xfrm xmlns:a="http://schemas.openxmlformats.org/drawingml/2006/main">
            <a:off x="2173017" y="129334"/>
            <a:ext cx="145937" cy="177356"/>
          </a:xfrm>
          <a:prstGeom xmlns:a="http://schemas.openxmlformats.org/drawingml/2006/main" prst="rect">
            <a:avLst/>
          </a:prstGeom>
          <a:noFill xmlns:a="http://schemas.openxmlformats.org/drawingml/2006/main"/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wrap="none" lIns="0" tIns="0" rIns="0" bIns="0" rtlCol="0" anchor="t">
            <a:spAutoFit/>
          </a:bodyPr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is-IS" sz="900">
                <a:latin typeface="Lucida Sans Unicode" panose="020B0602030504020204" pitchFamily="34" charset="0"/>
                <a:cs typeface="Lucida Sans Unicode" panose="020B0602030504020204" pitchFamily="34" charset="0"/>
              </a:rPr>
              <a:t>10</a:t>
            </a:r>
          </a:p>
        </cdr:txBody>
      </cdr:sp>
      <cdr:sp macro="" textlink="">
        <cdr:nvSpPr>
          <cdr:cNvPr id="9" name="TextBox 2">
            <a:extLst xmlns:a="http://schemas.openxmlformats.org/drawingml/2006/main">
              <a:ext uri="{FF2B5EF4-FFF2-40B4-BE49-F238E27FC236}">
                <a16:creationId xmlns:a16="http://schemas.microsoft.com/office/drawing/2014/main" id="{00000000-0008-0000-1100-000003000000}"/>
              </a:ext>
            </a:extLst>
          </cdr:cNvPr>
          <cdr:cNvSpPr txBox="1"/>
        </cdr:nvSpPr>
        <cdr:spPr>
          <a:xfrm xmlns:a="http://schemas.openxmlformats.org/drawingml/2006/main">
            <a:off x="2867755" y="129334"/>
            <a:ext cx="72969" cy="177356"/>
          </a:xfrm>
          <a:prstGeom xmlns:a="http://schemas.openxmlformats.org/drawingml/2006/main" prst="rect">
            <a:avLst/>
          </a:prstGeom>
          <a:noFill xmlns:a="http://schemas.openxmlformats.org/drawingml/2006/main"/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wrap="none" lIns="0" tIns="0" rIns="0" bIns="0" rtlCol="0" anchor="t">
            <a:spAutoFit/>
          </a:bodyPr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is-IS" sz="900">
                <a:latin typeface="Lucida Sans Unicode" panose="020B0602030504020204" pitchFamily="34" charset="0"/>
                <a:cs typeface="Lucida Sans Unicode" panose="020B0602030504020204" pitchFamily="34" charset="0"/>
              </a:rPr>
              <a:t>9</a:t>
            </a:r>
          </a:p>
        </cdr:txBody>
      </cdr:sp>
      <cdr:sp macro="" textlink="">
        <cdr:nvSpPr>
          <cdr:cNvPr id="10" name="TextBox 2">
            <a:extLst xmlns:a="http://schemas.openxmlformats.org/drawingml/2006/main">
              <a:ext uri="{FF2B5EF4-FFF2-40B4-BE49-F238E27FC236}">
                <a16:creationId xmlns:a16="http://schemas.microsoft.com/office/drawing/2014/main" id="{00000000-0008-0000-1100-000003000000}"/>
              </a:ext>
            </a:extLst>
          </cdr:cNvPr>
          <cdr:cNvSpPr txBox="1"/>
        </cdr:nvSpPr>
        <cdr:spPr>
          <a:xfrm xmlns:a="http://schemas.openxmlformats.org/drawingml/2006/main">
            <a:off x="2135454" y="710797"/>
            <a:ext cx="72969" cy="177356"/>
          </a:xfrm>
          <a:prstGeom xmlns:a="http://schemas.openxmlformats.org/drawingml/2006/main" prst="rect">
            <a:avLst/>
          </a:prstGeom>
          <a:noFill xmlns:a="http://schemas.openxmlformats.org/drawingml/2006/main"/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wrap="none" lIns="0" tIns="0" rIns="0" bIns="0" rtlCol="0" anchor="t">
            <a:spAutoFit/>
          </a:bodyPr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is-IS" sz="900">
                <a:latin typeface="Lucida Sans Unicode" panose="020B0602030504020204" pitchFamily="34" charset="0"/>
                <a:cs typeface="Lucida Sans Unicode" panose="020B0602030504020204" pitchFamily="34" charset="0"/>
              </a:rPr>
              <a:t>6</a:t>
            </a:r>
          </a:p>
        </cdr:txBody>
      </cdr:sp>
      <cdr:sp macro="" textlink="">
        <cdr:nvSpPr>
          <cdr:cNvPr id="11" name="TextBox 2">
            <a:extLst xmlns:a="http://schemas.openxmlformats.org/drawingml/2006/main">
              <a:ext uri="{FF2B5EF4-FFF2-40B4-BE49-F238E27FC236}">
                <a16:creationId xmlns:a16="http://schemas.microsoft.com/office/drawing/2014/main" id="{00000000-0008-0000-1100-000003000000}"/>
              </a:ext>
            </a:extLst>
          </cdr:cNvPr>
          <cdr:cNvSpPr txBox="1"/>
        </cdr:nvSpPr>
        <cdr:spPr>
          <a:xfrm xmlns:a="http://schemas.openxmlformats.org/drawingml/2006/main">
            <a:off x="2867755" y="1184993"/>
            <a:ext cx="72969" cy="177356"/>
          </a:xfrm>
          <a:prstGeom xmlns:a="http://schemas.openxmlformats.org/drawingml/2006/main" prst="rect">
            <a:avLst/>
          </a:prstGeom>
          <a:noFill xmlns:a="http://schemas.openxmlformats.org/drawingml/2006/main"/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wrap="none" lIns="0" tIns="0" rIns="0" bIns="0" rtlCol="0" anchor="t">
            <a:spAutoFit/>
          </a:bodyPr>
          <a:lstStyle xmlns:a="http://schemas.openxmlformats.org/drawingml/2006/main">
            <a:lvl1pPr marL="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is-IS" sz="900">
                <a:latin typeface="Lucida Sans Unicode" panose="020B0602030504020204" pitchFamily="34" charset="0"/>
                <a:cs typeface="Lucida Sans Unicode" panose="020B0602030504020204" pitchFamily="34" charset="0"/>
              </a:rPr>
              <a:t>7</a:t>
            </a:r>
          </a:p>
        </cdr:txBody>
      </cdr:sp>
    </cdr:grp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183187</xdr:colOff>
      <xdr:row>48</xdr:row>
      <xdr:rowOff>64770</xdr:rowOff>
    </xdr:from>
    <xdr:to>
      <xdr:col>1</xdr:col>
      <xdr:colOff>512137</xdr:colOff>
      <xdr:row>51</xdr:row>
      <xdr:rowOff>11430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187" y="9789795"/>
          <a:ext cx="986175" cy="518160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23811</xdr:rowOff>
    </xdr:from>
    <xdr:to>
      <xdr:col>4</xdr:col>
      <xdr:colOff>628650</xdr:colOff>
      <xdr:row>32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14</xdr:col>
      <xdr:colOff>485775</xdr:colOff>
      <xdr:row>31</xdr:row>
      <xdr:rowOff>76200</xdr:rowOff>
    </xdr:from>
    <xdr:ext cx="6153149" cy="2333625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677150" y="6276975"/>
          <a:ext cx="6153149" cy="2333625"/>
        </a:xfrm>
        <a:prstGeom prst="rect">
          <a:avLst/>
        </a:prstGeom>
        <a:solidFill>
          <a:srgbClr val="FAFAFA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nb-NO" sz="1100" b="1">
              <a:solidFill>
                <a:srgbClr val="444F55"/>
              </a:solidFill>
              <a:effectLst/>
              <a:latin typeface="+mn-lt"/>
              <a:ea typeface="+mn-ea"/>
              <a:cs typeface="+mn-cs"/>
            </a:rPr>
            <a:t>Soil classification</a:t>
          </a:r>
        </a:p>
        <a:p>
          <a:r>
            <a:rPr lang="nb-NO" sz="1100" b="0"/>
            <a:t>The sounding</a:t>
          </a:r>
          <a:r>
            <a:rPr lang="nb-NO" sz="1100" b="0" baseline="0"/>
            <a:t> profile is used to classify each datapoint with the given model. Models that must be run with a program are started using a button.</a:t>
          </a:r>
        </a:p>
        <a:p>
          <a:endParaRPr lang="nb-NO" sz="1100" b="0" baseline="0"/>
        </a:p>
        <a:p>
          <a:r>
            <a:rPr lang="nb-NO" sz="1100" b="1" baseline="0">
              <a:solidFill>
                <a:srgbClr val="008EC2"/>
              </a:solidFill>
              <a:effectLst/>
              <a:latin typeface="+mn-lt"/>
              <a:ea typeface="+mn-ea"/>
              <a:cs typeface="+mn-cs"/>
            </a:rPr>
            <a:t>Presentastion using tiles in </a:t>
          </a:r>
          <a:r>
            <a:rPr lang="nb-NO" sz="1100" b="1" baseline="0">
              <a:solidFill>
                <a:srgbClr val="5DB82E"/>
              </a:solidFill>
              <a:effectLst/>
              <a:latin typeface="+mn-lt"/>
              <a:ea typeface="+mn-ea"/>
              <a:cs typeface="+mn-cs"/>
            </a:rPr>
            <a:t>Excel</a:t>
          </a:r>
          <a:endParaRPr lang="nb-NO">
            <a:solidFill>
              <a:srgbClr val="5DB82E"/>
            </a:solidFill>
            <a:effectLst/>
          </a:endParaRPr>
        </a:p>
        <a:p>
          <a:r>
            <a:rPr lang="nb-N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classification result is visualized using a binary scatterplot graph and different colored tiles for each class.</a:t>
          </a:r>
        </a:p>
        <a:p>
          <a:endParaRPr lang="nb-NO">
            <a:effectLst/>
          </a:endParaRPr>
        </a:p>
        <a:p>
          <a:r>
            <a:rPr lang="nb-NO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Depth intervals with flushing and hammering are washed out by defauilt.</a:t>
          </a:r>
          <a:endParaRPr lang="nb-NO">
            <a:effectLst/>
          </a:endParaRPr>
        </a:p>
        <a:p>
          <a:endParaRPr lang="nb-NO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nb-NO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tile approach makes the presentation dynamic and no limit is on the number of layers that can be presented. The downside is that it requires one (</a:t>
          </a:r>
          <a:r>
            <a:rPr lang="nb-NO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presentation</a:t>
          </a:r>
          <a:r>
            <a:rPr lang="nb-NO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column pr. class in the calculation sheet.</a:t>
          </a:r>
          <a:endParaRPr lang="nb-NO">
            <a:effectLst/>
          </a:endParaRPr>
        </a:p>
      </xdr:txBody>
    </xdr:sp>
    <xdr:clientData fPrintsWithSheet="0"/>
  </xdr:oneCellAnchor>
  <xdr:oneCellAnchor>
    <xdr:from>
      <xdr:col>0</xdr:col>
      <xdr:colOff>95250</xdr:colOff>
      <xdr:row>0</xdr:row>
      <xdr:rowOff>47625</xdr:rowOff>
    </xdr:from>
    <xdr:ext cx="3117273" cy="216791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95250" y="47625"/>
          <a:ext cx="3117273" cy="21679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nb-NO" sz="1100" b="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Valsson, Degago, Eiksund '24 DTW  with q</a:t>
          </a:r>
          <a:r>
            <a:rPr lang="nb-NO" sz="1100" b="0" baseline="-2500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</xdr:row>
          <xdr:rowOff>9525</xdr:rowOff>
        </xdr:from>
        <xdr:to>
          <xdr:col>15</xdr:col>
          <xdr:colOff>542925</xdr:colOff>
          <xdr:row>1</xdr:row>
          <xdr:rowOff>200025</xdr:rowOff>
        </xdr:to>
        <xdr:sp macro="" textlink="">
          <xdr:nvSpPr>
            <xdr:cNvPr id="20481" name="read_file_btn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4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Lucida Sans Unicode"/>
                  <a:cs typeface="Lucida Sans Unicode"/>
                </a:rPr>
                <a:t>Classify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0.51775</cdr:x>
      <cdr:y>0.04974</cdr:y>
    </cdr:from>
    <cdr:to>
      <cdr:x>1</cdr:x>
      <cdr:y>0.71903</cdr:y>
    </cdr:to>
    <cdr:pic>
      <cdr:nvPicPr>
        <cdr:cNvPr id="3" name="Picture 2">
          <a:extLst xmlns:a="http://schemas.openxmlformats.org/drawingml/2006/main">
            <a:ext uri="{FF2B5EF4-FFF2-40B4-BE49-F238E27FC236}">
              <a16:creationId xmlns:a16="http://schemas.microsoft.com/office/drawing/2014/main" id="{EB32E653-FAE5-5CDA-2597-D52B903DBE3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1697925" y="323822"/>
          <a:ext cx="1548000" cy="435733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121</xdr:row>
      <xdr:rowOff>29765</xdr:rowOff>
    </xdr:from>
    <xdr:to>
      <xdr:col>4</xdr:col>
      <xdr:colOff>771524</xdr:colOff>
      <xdr:row>128</xdr:row>
      <xdr:rowOff>171450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771525" y="23108840"/>
          <a:ext cx="2019299" cy="1475185"/>
          <a:chOff x="200025" y="23108840"/>
          <a:chExt cx="2019299" cy="1475185"/>
        </a:xfrm>
      </xdr:grpSpPr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CxnSpPr/>
        </xdr:nvCxnSpPr>
        <xdr:spPr>
          <a:xfrm flipV="1">
            <a:off x="449762" y="23108840"/>
            <a:ext cx="0" cy="54173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200025" y="23574375"/>
            <a:ext cx="2019299" cy="1009650"/>
          </a:xfrm>
          <a:prstGeom prst="roundRect">
            <a:avLst>
              <a:gd name="adj" fmla="val 9394"/>
            </a:avLst>
          </a:prstGeom>
          <a:solidFill>
            <a:schemeClr val="bg1">
              <a:lumMod val="95000"/>
            </a:schemeClr>
          </a:solidFill>
        </xdr:spPr>
        <xdr:style>
          <a:lnRef idx="2">
            <a:schemeClr val="accent3">
              <a:shade val="15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nb-NO" sz="1100" baseline="0">
                <a:solidFill>
                  <a:sysClr val="windowText" lastClr="000000"/>
                </a:solidFill>
              </a:rPr>
              <a:t>Formulas in column E:E are supposed to refer to the line below the last line with data.</a:t>
            </a:r>
          </a:p>
          <a:p>
            <a:pPr algn="l"/>
            <a:endParaRPr lang="nb-NO" sz="1100">
              <a:solidFill>
                <a:sysClr val="windowText" lastClr="000000"/>
              </a:solidFill>
            </a:endParaRPr>
          </a:p>
          <a:p>
            <a:pPr algn="l"/>
            <a:r>
              <a:rPr lang="nb-NO" sz="1100">
                <a:solidFill>
                  <a:sysClr val="windowText" lastClr="000000"/>
                </a:solidFill>
              </a:rPr>
              <a:t>Similar for other variables...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3</xdr:row>
          <xdr:rowOff>28575</xdr:rowOff>
        </xdr:from>
        <xdr:to>
          <xdr:col>13</xdr:col>
          <xdr:colOff>76200</xdr:colOff>
          <xdr:row>4</xdr:row>
          <xdr:rowOff>28575</xdr:rowOff>
        </xdr:to>
        <xdr:sp macro="" textlink="">
          <xdr:nvSpPr>
            <xdr:cNvPr id="15361" name="read_file_btn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9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Lucida Sans Unicode"/>
                  <a:cs typeface="Lucida Sans Unicode"/>
                </a:rPr>
                <a:t>Classify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3</xdr:row>
          <xdr:rowOff>28575</xdr:rowOff>
        </xdr:from>
        <xdr:to>
          <xdr:col>13</xdr:col>
          <xdr:colOff>76200</xdr:colOff>
          <xdr:row>4</xdr:row>
          <xdr:rowOff>28575</xdr:rowOff>
        </xdr:to>
        <xdr:sp macro="" textlink="">
          <xdr:nvSpPr>
            <xdr:cNvPr id="19457" name="read_file_btn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Lucida Sans Unicode"/>
                  <a:cs typeface="Lucida Sans Unicode"/>
                </a:rPr>
                <a:t>Classify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7.xml"/><Relationship Id="rId4" Type="http://schemas.openxmlformats.org/officeDocument/2006/relationships/ctrlProp" Target="../ctrlProps/ctrlProp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svenskageotekniskaforeningen.se/wp-content/uploads/Publikationer/SGF%20Notat/J%C3%A4mf%C3%B6rande%20sonderingar.pdf" TargetMode="External"/><Relationship Id="rId2" Type="http://schemas.openxmlformats.org/officeDocument/2006/relationships/hyperlink" Target="https://www.ngm2016.com/uploads/2/1/7/9/21790806/ngm2016-071_a_preliminary_attempt_towards_soil_classification_chart_from_total_sounding_haugen.pdf" TargetMode="External"/><Relationship Id="rId1" Type="http://schemas.openxmlformats.org/officeDocument/2006/relationships/hyperlink" Target="https://ngf.no/publikasjoner/melding-nr-9-veiledning-for-utforelse-av-totalsondering-1994/" TargetMode="External"/><Relationship Id="rId4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39FB1-E444-43E8-9EC1-06A65CC75E47}">
  <sheetPr codeName="S_00_general"/>
  <dimension ref="A1:R36"/>
  <sheetViews>
    <sheetView tabSelected="1" zoomScaleNormal="100" workbookViewId="0"/>
  </sheetViews>
  <sheetFormatPr defaultRowHeight="15" x14ac:dyDescent="0.25"/>
  <cols>
    <col min="1" max="1" width="2.5703125" customWidth="1"/>
    <col min="2" max="2" width="33.7109375" customWidth="1"/>
    <col min="3" max="3" width="26.140625" bestFit="1" customWidth="1"/>
    <col min="4" max="4" width="8.7109375" customWidth="1"/>
    <col min="5" max="5" width="12.7109375" customWidth="1"/>
    <col min="6" max="6" width="20.42578125" customWidth="1"/>
    <col min="7" max="7" width="27.140625" customWidth="1"/>
    <col min="8" max="8" width="14.42578125" customWidth="1"/>
    <col min="9" max="13" width="10.85546875" customWidth="1"/>
    <col min="15" max="15" width="11.7109375" customWidth="1"/>
  </cols>
  <sheetData>
    <row r="1" spans="1:18" ht="18.75" x14ac:dyDescent="0.25">
      <c r="A1" s="1" t="s">
        <v>502</v>
      </c>
      <c r="B1" s="1"/>
      <c r="C1" s="1"/>
      <c r="D1" s="1"/>
      <c r="E1" s="1"/>
      <c r="F1" s="1"/>
      <c r="G1" s="2"/>
      <c r="H1" s="3"/>
      <c r="I1" s="322" t="s">
        <v>145</v>
      </c>
      <c r="J1" s="323"/>
      <c r="K1" s="323"/>
      <c r="L1" s="323"/>
      <c r="M1" s="324"/>
      <c r="O1" s="322" t="s">
        <v>144</v>
      </c>
      <c r="P1" s="323"/>
      <c r="Q1" s="323"/>
      <c r="R1" s="324"/>
    </row>
    <row r="2" spans="1:18" x14ac:dyDescent="0.25">
      <c r="A2" s="4"/>
      <c r="B2" s="4"/>
      <c r="C2" s="4"/>
      <c r="D2" s="4"/>
      <c r="E2" s="4"/>
      <c r="F2" s="4"/>
      <c r="G2" s="5"/>
      <c r="H2" s="3"/>
      <c r="I2" s="131" t="s">
        <v>55</v>
      </c>
      <c r="J2" t="s">
        <v>56</v>
      </c>
      <c r="K2" s="4"/>
      <c r="L2" s="4"/>
      <c r="M2" s="34"/>
      <c r="O2" s="39" t="s">
        <v>61</v>
      </c>
      <c r="P2" s="123" t="s">
        <v>62</v>
      </c>
      <c r="Q2" s="130"/>
      <c r="R2" s="34"/>
    </row>
    <row r="3" spans="1:18" x14ac:dyDescent="0.25">
      <c r="A3" s="6" t="s">
        <v>54</v>
      </c>
      <c r="B3" s="4"/>
      <c r="C3" s="4"/>
      <c r="D3" s="4"/>
      <c r="E3" s="4"/>
      <c r="F3" s="4"/>
      <c r="G3" s="5"/>
      <c r="H3" s="3"/>
      <c r="I3" s="132">
        <v>1</v>
      </c>
      <c r="J3" t="s">
        <v>57</v>
      </c>
      <c r="K3" s="4"/>
      <c r="L3" s="4"/>
      <c r="M3" s="34"/>
      <c r="O3" s="40" t="s">
        <v>108</v>
      </c>
      <c r="P3" s="123" t="s">
        <v>63</v>
      </c>
      <c r="Q3" s="130"/>
      <c r="R3" s="34"/>
    </row>
    <row r="4" spans="1:18" x14ac:dyDescent="0.25">
      <c r="A4" s="4"/>
      <c r="B4" s="7" t="s">
        <v>85</v>
      </c>
      <c r="C4" s="8" t="s">
        <v>86</v>
      </c>
      <c r="D4" s="4"/>
      <c r="E4" s="4"/>
      <c r="F4" s="4"/>
      <c r="G4" s="9"/>
      <c r="H4" s="4"/>
      <c r="I4" s="133">
        <v>2</v>
      </c>
      <c r="J4" t="s">
        <v>58</v>
      </c>
      <c r="K4" s="4"/>
      <c r="L4" s="4"/>
      <c r="M4" s="34"/>
      <c r="O4" s="209" t="s">
        <v>108</v>
      </c>
      <c r="P4" s="123" t="s">
        <v>214</v>
      </c>
      <c r="Q4" s="130"/>
      <c r="R4" s="34"/>
    </row>
    <row r="5" spans="1:18" x14ac:dyDescent="0.25">
      <c r="A5" s="4"/>
      <c r="B5" s="7" t="s">
        <v>84</v>
      </c>
      <c r="C5" s="8" t="s">
        <v>87</v>
      </c>
      <c r="D5" s="4"/>
      <c r="E5" s="4"/>
      <c r="F5" s="4"/>
      <c r="G5" s="5"/>
      <c r="H5" s="4"/>
      <c r="I5" s="134">
        <v>3</v>
      </c>
      <c r="J5" s="123" t="s">
        <v>59</v>
      </c>
      <c r="K5" s="130"/>
      <c r="L5" s="130"/>
      <c r="M5" s="34"/>
      <c r="O5" s="41" t="s">
        <v>108</v>
      </c>
      <c r="P5" s="36" t="s">
        <v>64</v>
      </c>
      <c r="Q5" s="37"/>
      <c r="R5" s="38"/>
    </row>
    <row r="6" spans="1:18" x14ac:dyDescent="0.25">
      <c r="A6" s="4"/>
      <c r="B6" s="7" t="s">
        <v>84</v>
      </c>
      <c r="C6" s="10"/>
      <c r="D6" s="11" t="str">
        <f xml:space="preserve"> IF(ISBLANK(Calculations!B9),"",Calculations!B9)</f>
        <v/>
      </c>
      <c r="E6" s="4"/>
      <c r="F6" s="4"/>
      <c r="G6" s="5"/>
      <c r="H6" s="4"/>
      <c r="I6" s="35" t="e">
        <f>NA()</f>
        <v>#N/A</v>
      </c>
      <c r="J6" s="36" t="s">
        <v>60</v>
      </c>
      <c r="K6" s="37"/>
      <c r="L6" s="37"/>
      <c r="M6" s="38"/>
    </row>
    <row r="7" spans="1:18" x14ac:dyDescent="0.25">
      <c r="A7" s="4"/>
      <c r="B7" s="12" t="s">
        <v>83</v>
      </c>
      <c r="C7" s="10"/>
      <c r="D7" s="4"/>
      <c r="E7" s="4"/>
      <c r="F7" s="4"/>
      <c r="G7" s="19"/>
      <c r="H7" s="4"/>
    </row>
    <row r="8" spans="1:18" x14ac:dyDescent="0.25">
      <c r="A8" s="4"/>
      <c r="B8" s="7" t="s">
        <v>82</v>
      </c>
      <c r="C8" s="17" t="str">
        <f>D8</f>
        <v/>
      </c>
      <c r="D8" s="11" t="str">
        <f xml:space="preserve"> IF(ISBLANK(Calculations!B10),"",Calculations!B10)</f>
        <v/>
      </c>
      <c r="E8" s="4"/>
      <c r="F8" s="4"/>
      <c r="G8" s="19"/>
      <c r="H8" s="4"/>
    </row>
    <row r="9" spans="1:18" x14ac:dyDescent="0.25">
      <c r="A9" s="4"/>
      <c r="B9" s="13" t="s">
        <v>88</v>
      </c>
      <c r="C9" s="14" t="s">
        <v>0</v>
      </c>
      <c r="D9" s="15" t="s">
        <v>1</v>
      </c>
      <c r="E9" s="4"/>
      <c r="F9" s="4"/>
      <c r="H9" s="4"/>
    </row>
    <row r="10" spans="1:18" x14ac:dyDescent="0.25">
      <c r="A10" s="4"/>
      <c r="B10" s="16" t="s">
        <v>148</v>
      </c>
      <c r="C10" s="17"/>
      <c r="D10" s="4"/>
      <c r="E10" s="4"/>
      <c r="F10" s="4"/>
      <c r="G10" s="19"/>
      <c r="H10" s="4"/>
    </row>
    <row r="11" spans="1:18" x14ac:dyDescent="0.25">
      <c r="F11" s="4"/>
      <c r="H11" s="4"/>
    </row>
    <row r="12" spans="1:18" x14ac:dyDescent="0.25">
      <c r="A12" s="6" t="s">
        <v>89</v>
      </c>
      <c r="B12" s="4"/>
      <c r="C12" s="4"/>
      <c r="F12" s="4"/>
      <c r="G12" s="19"/>
      <c r="H12" s="4"/>
    </row>
    <row r="13" spans="1:18" x14ac:dyDescent="0.25">
      <c r="A13" s="4"/>
      <c r="B13" s="7" t="s">
        <v>109</v>
      </c>
      <c r="C13" s="18"/>
      <c r="D13" s="4"/>
      <c r="E13" s="4"/>
      <c r="F13" s="4"/>
      <c r="G13" s="19"/>
    </row>
    <row r="14" spans="1:18" x14ac:dyDescent="0.25">
      <c r="A14" s="4"/>
      <c r="B14" s="7" t="s">
        <v>110</v>
      </c>
      <c r="C14" s="18"/>
      <c r="D14" s="4"/>
      <c r="E14" s="4"/>
      <c r="F14" s="4"/>
      <c r="G14" s="19"/>
      <c r="H14" s="4"/>
    </row>
    <row r="15" spans="1:18" x14ac:dyDescent="0.25">
      <c r="A15" s="4"/>
      <c r="B15" s="7" t="s">
        <v>111</v>
      </c>
      <c r="C15" s="18"/>
      <c r="D15" s="4"/>
      <c r="E15" s="4"/>
      <c r="F15" s="4"/>
      <c r="G15" s="19"/>
      <c r="H15" s="4"/>
    </row>
    <row r="16" spans="1:18" x14ac:dyDescent="0.25">
      <c r="A16" s="4"/>
      <c r="B16" s="4"/>
      <c r="C16" s="4"/>
      <c r="D16" s="4"/>
      <c r="E16" s="4"/>
      <c r="F16" s="4"/>
      <c r="G16" s="19"/>
      <c r="H16" s="4"/>
    </row>
    <row r="17" spans="1:8" x14ac:dyDescent="0.25">
      <c r="A17" s="6" t="s">
        <v>90</v>
      </c>
      <c r="B17" s="4"/>
      <c r="C17" s="4"/>
      <c r="D17" s="4"/>
      <c r="E17" s="4"/>
      <c r="F17" s="4"/>
      <c r="H17" s="4"/>
    </row>
    <row r="18" spans="1:8" x14ac:dyDescent="0.25">
      <c r="A18" s="4"/>
      <c r="B18" s="7" t="s">
        <v>92</v>
      </c>
      <c r="C18" s="21" t="str">
        <f xml:space="preserve"> IF(ISBLANK(Calculations!B5),"",Calculations!B5)</f>
        <v/>
      </c>
      <c r="D18" s="4"/>
      <c r="F18" s="4"/>
      <c r="G18" s="4"/>
      <c r="H18" s="4"/>
    </row>
    <row r="19" spans="1:8" x14ac:dyDescent="0.25">
      <c r="A19" s="4"/>
      <c r="B19" s="7" t="s">
        <v>166</v>
      </c>
      <c r="C19" s="21" t="str">
        <f xml:space="preserve"> IF(ISBLANK(Calculations!E4),"",Calculations!E4)</f>
        <v/>
      </c>
      <c r="D19" s="4"/>
      <c r="E19" s="4"/>
    </row>
    <row r="20" spans="1:8" x14ac:dyDescent="0.25">
      <c r="D20" s="4"/>
      <c r="E20" s="4"/>
    </row>
    <row r="21" spans="1:8" x14ac:dyDescent="0.25">
      <c r="A21" s="6" t="s">
        <v>91</v>
      </c>
      <c r="B21" s="4"/>
      <c r="C21" s="4"/>
      <c r="D21" s="4"/>
      <c r="E21" s="4"/>
    </row>
    <row r="22" spans="1:8" ht="15.75" x14ac:dyDescent="0.25">
      <c r="A22" s="4"/>
      <c r="B22" s="22" t="s">
        <v>112</v>
      </c>
      <c r="C22" s="23">
        <v>10</v>
      </c>
      <c r="D22" s="24" t="s">
        <v>2</v>
      </c>
      <c r="E22" s="4"/>
    </row>
    <row r="23" spans="1:8" ht="15.75" x14ac:dyDescent="0.25">
      <c r="A23" s="4"/>
      <c r="B23" t="s">
        <v>174</v>
      </c>
      <c r="C23" s="154">
        <f>(0.057/2)^2*PI()</f>
        <v>2.5517586328783095E-3</v>
      </c>
      <c r="D23" s="24" t="s">
        <v>175</v>
      </c>
    </row>
    <row r="24" spans="1:8" x14ac:dyDescent="0.25">
      <c r="A24" s="4"/>
      <c r="B24" s="22" t="s">
        <v>114</v>
      </c>
      <c r="C24" s="26" t="s">
        <v>66</v>
      </c>
      <c r="D24" s="26" t="s">
        <v>3</v>
      </c>
      <c r="E24" s="4"/>
    </row>
    <row r="25" spans="1:8" x14ac:dyDescent="0.25">
      <c r="A25" s="4"/>
      <c r="B25" s="4" t="s">
        <v>240</v>
      </c>
      <c r="C25" s="245" t="s">
        <v>241</v>
      </c>
      <c r="D25" s="4"/>
      <c r="E25" s="4"/>
      <c r="F25" s="4"/>
    </row>
    <row r="26" spans="1:8" ht="18" x14ac:dyDescent="0.35">
      <c r="B26" t="s">
        <v>497</v>
      </c>
      <c r="C26" s="245" t="s">
        <v>241</v>
      </c>
      <c r="E26" s="4"/>
      <c r="F26" s="4"/>
    </row>
    <row r="27" spans="1:8" ht="18" x14ac:dyDescent="0.35">
      <c r="B27" t="s">
        <v>499</v>
      </c>
      <c r="C27" s="252">
        <v>1E-3</v>
      </c>
      <c r="D27" s="250" t="s">
        <v>9</v>
      </c>
      <c r="E27" s="4"/>
      <c r="F27" s="4"/>
      <c r="G27" s="4"/>
      <c r="H27" s="4"/>
    </row>
    <row r="28" spans="1:8" x14ac:dyDescent="0.25">
      <c r="B28" t="s">
        <v>250</v>
      </c>
      <c r="C28" s="260">
        <v>5</v>
      </c>
      <c r="D28" s="259" t="s">
        <v>3</v>
      </c>
      <c r="E28" s="4"/>
      <c r="F28" s="4"/>
      <c r="G28" s="4"/>
      <c r="H28" s="4"/>
    </row>
    <row r="30" spans="1:8" x14ac:dyDescent="0.25">
      <c r="A30" s="6" t="s">
        <v>122</v>
      </c>
      <c r="B30" s="4"/>
      <c r="C30" s="4"/>
      <c r="D30" s="4"/>
      <c r="E30" s="4"/>
      <c r="F30" s="4"/>
      <c r="G30" s="4"/>
      <c r="H30" s="4"/>
    </row>
    <row r="31" spans="1:8" x14ac:dyDescent="0.25">
      <c r="A31" s="4"/>
      <c r="B31" s="7" t="s">
        <v>115</v>
      </c>
      <c r="C31" s="27" t="s">
        <v>120</v>
      </c>
      <c r="D31" s="27" t="s">
        <v>119</v>
      </c>
      <c r="E31" s="27" t="s">
        <v>118</v>
      </c>
      <c r="F31" s="28" t="s">
        <v>117</v>
      </c>
      <c r="G31" s="28" t="s">
        <v>121</v>
      </c>
      <c r="H31" s="4"/>
    </row>
    <row r="32" spans="1:8" x14ac:dyDescent="0.25">
      <c r="A32" s="4"/>
      <c r="B32" s="29" t="s">
        <v>116</v>
      </c>
      <c r="C32" s="30">
        <v>1</v>
      </c>
      <c r="D32" s="30"/>
      <c r="E32" s="31"/>
      <c r="F32" s="32"/>
      <c r="G32" s="33"/>
      <c r="H32" s="4"/>
    </row>
    <row r="33" spans="1:8" x14ac:dyDescent="0.25">
      <c r="A33" s="4"/>
      <c r="B33" s="29" t="s">
        <v>156</v>
      </c>
      <c r="C33" s="30">
        <v>2</v>
      </c>
      <c r="D33" s="30"/>
      <c r="E33" s="31"/>
      <c r="F33" s="32"/>
      <c r="G33" s="33"/>
      <c r="H33" s="4"/>
    </row>
    <row r="34" spans="1:8" x14ac:dyDescent="0.25">
      <c r="A34" s="4"/>
      <c r="B34" s="29" t="s">
        <v>222</v>
      </c>
      <c r="C34" s="30">
        <v>3</v>
      </c>
      <c r="D34" s="30"/>
      <c r="E34" s="31"/>
      <c r="F34" s="32"/>
      <c r="G34" s="33"/>
      <c r="H34" s="4"/>
    </row>
    <row r="35" spans="1:8" x14ac:dyDescent="0.25">
      <c r="B35" s="29"/>
      <c r="C35" s="30"/>
      <c r="D35" s="30"/>
      <c r="E35" s="31"/>
      <c r="F35" s="32"/>
      <c r="G35" s="33"/>
      <c r="H35" s="4"/>
    </row>
    <row r="36" spans="1:8" x14ac:dyDescent="0.25">
      <c r="B36" s="29"/>
      <c r="C36" s="30"/>
      <c r="D36" s="30"/>
      <c r="E36" s="31"/>
      <c r="F36" s="32"/>
      <c r="G36" s="33"/>
      <c r="H36" s="4"/>
    </row>
  </sheetData>
  <sortState xmlns:xlrd2="http://schemas.microsoft.com/office/spreadsheetml/2017/richdata2" ref="Q10:Q24">
    <sortCondition ref="Q10:Q24"/>
  </sortState>
  <mergeCells count="2">
    <mergeCell ref="I1:M1"/>
    <mergeCell ref="O1:R1"/>
  </mergeCells>
  <dataValidations count="1">
    <dataValidation type="list" allowBlank="1" showInputMessage="1" showErrorMessage="1" sqref="C25:C26" xr:uid="{F8CC3B56-B5B7-4270-B1DE-4E865F358812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raw_file_to_sheet">
              <controlPr defaultSize="0" print="0" autoFill="0" autoLine="0" autoPict="0">
                <anchor moveWithCells="1">
                  <from>
                    <xdr:col>6</xdr:col>
                    <xdr:colOff>142875</xdr:colOff>
                    <xdr:row>3</xdr:row>
                    <xdr:rowOff>0</xdr:rowOff>
                  </from>
                  <to>
                    <xdr:col>6</xdr:col>
                    <xdr:colOff>1743075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read_file_btn">
              <controlPr defaultSize="0" print="0" autoFill="0" autoPict="0" macro="[0]!read_sounding">
                <anchor moveWithCells="1" sizeWithCells="1">
                  <from>
                    <xdr:col>6</xdr:col>
                    <xdr:colOff>85725</xdr:colOff>
                    <xdr:row>0</xdr:row>
                    <xdr:rowOff>66675</xdr:rowOff>
                  </from>
                  <to>
                    <xdr:col>6</xdr:col>
                    <xdr:colOff>1724025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365E082-D44A-4773-82CB-D1C2FBA8145D}">
            <xm:f>'2.Profile'!$Q$4&lt;-$C$27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C26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2D84E-785B-4347-B6FC-7066F9EA1E0D}">
  <sheetPr codeName="S_01_stress">
    <tabColor rgb="FF444F55"/>
  </sheetPr>
  <dimension ref="A1:U52"/>
  <sheetViews>
    <sheetView zoomScaleNormal="100" workbookViewId="0"/>
  </sheetViews>
  <sheetFormatPr defaultRowHeight="15" x14ac:dyDescent="0.25"/>
  <cols>
    <col min="1" max="7" width="9.85546875" customWidth="1"/>
    <col min="8" max="8" width="2.28515625" customWidth="1"/>
    <col min="9" max="9" width="8.85546875" customWidth="1"/>
    <col min="10" max="10" width="7" customWidth="1"/>
    <col min="11" max="11" width="1.85546875" customWidth="1"/>
    <col min="12" max="12" width="2.28515625" customWidth="1"/>
    <col min="13" max="13" width="7.42578125" customWidth="1"/>
    <col min="16" max="16" width="12.85546875" customWidth="1"/>
    <col min="17" max="18" width="16.85546875" customWidth="1"/>
    <col min="20" max="20" width="12.85546875" customWidth="1"/>
    <col min="21" max="21" width="16.5703125" customWidth="1"/>
  </cols>
  <sheetData>
    <row r="1" spans="1:21" ht="15.95" customHeight="1" x14ac:dyDescent="0.25">
      <c r="A1" s="42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4"/>
      <c r="T1" s="106"/>
      <c r="U1" s="110" t="s">
        <v>155</v>
      </c>
    </row>
    <row r="2" spans="1:21" ht="15.95" customHeight="1" x14ac:dyDescent="0.25">
      <c r="A2" s="45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7"/>
      <c r="P2" s="325" t="s">
        <v>123</v>
      </c>
      <c r="Q2" s="325"/>
      <c r="R2" s="325"/>
      <c r="T2" s="325" t="s">
        <v>106</v>
      </c>
      <c r="U2" s="325"/>
    </row>
    <row r="3" spans="1:21" ht="15.95" customHeight="1" x14ac:dyDescent="0.3">
      <c r="A3" s="48"/>
      <c r="B3" s="49"/>
      <c r="C3" s="49"/>
      <c r="D3" s="50"/>
      <c r="E3" s="50"/>
      <c r="F3" s="51"/>
      <c r="G3" s="51"/>
      <c r="H3" s="51"/>
      <c r="I3" s="51"/>
      <c r="J3" s="50"/>
      <c r="K3" s="50"/>
      <c r="L3" s="50"/>
      <c r="M3" s="52"/>
      <c r="P3" s="25" t="str">
        <f>General!C24</f>
        <v>Depth</v>
      </c>
      <c r="Q3" s="25" t="s">
        <v>124</v>
      </c>
      <c r="R3" s="20" t="s">
        <v>5</v>
      </c>
      <c r="T3" s="25" t="str">
        <f>General!C24</f>
        <v>Depth</v>
      </c>
      <c r="U3" s="25" t="s">
        <v>125</v>
      </c>
    </row>
    <row r="4" spans="1:21" ht="15.95" customHeight="1" x14ac:dyDescent="0.25">
      <c r="A4" s="48"/>
      <c r="B4" s="49"/>
      <c r="C4" s="49"/>
      <c r="D4" s="50"/>
      <c r="E4" s="50"/>
      <c r="F4" s="51"/>
      <c r="G4" s="51"/>
      <c r="H4" s="51"/>
      <c r="I4" s="51"/>
      <c r="J4" s="50"/>
      <c r="K4" s="50"/>
      <c r="L4" s="50"/>
      <c r="M4" s="52"/>
      <c r="P4" s="25" t="s">
        <v>3</v>
      </c>
      <c r="Q4" s="25" t="s">
        <v>6</v>
      </c>
      <c r="R4" s="25" t="s">
        <v>6</v>
      </c>
      <c r="T4" s="25" t="s">
        <v>3</v>
      </c>
      <c r="U4" s="25" t="s">
        <v>7</v>
      </c>
    </row>
    <row r="5" spans="1:21" ht="15.95" customHeight="1" x14ac:dyDescent="0.25">
      <c r="A5" s="48"/>
      <c r="B5" s="49"/>
      <c r="C5" s="49"/>
      <c r="D5" s="53"/>
      <c r="E5" s="53"/>
      <c r="F5" s="51"/>
      <c r="G5" s="51"/>
      <c r="H5" s="51"/>
      <c r="I5" s="51"/>
      <c r="J5" s="54"/>
      <c r="K5" s="54"/>
      <c r="L5" s="54"/>
      <c r="M5" s="55"/>
      <c r="O5" s="25" t="s">
        <v>126</v>
      </c>
      <c r="P5" s="98">
        <v>0</v>
      </c>
      <c r="Q5" s="99">
        <v>0</v>
      </c>
      <c r="R5" s="100">
        <v>0</v>
      </c>
      <c r="T5" s="101">
        <v>0</v>
      </c>
      <c r="U5" s="102">
        <v>17</v>
      </c>
    </row>
    <row r="6" spans="1:21" ht="15.95" customHeight="1" x14ac:dyDescent="0.25">
      <c r="A6" s="48"/>
      <c r="B6" s="49"/>
      <c r="C6" s="49"/>
      <c r="D6" s="53"/>
      <c r="E6" s="53"/>
      <c r="F6" s="51"/>
      <c r="G6" s="51"/>
      <c r="H6" s="51"/>
      <c r="I6" s="51"/>
      <c r="J6" s="56"/>
      <c r="K6" s="50"/>
      <c r="L6" s="50"/>
      <c r="M6" s="52"/>
      <c r="P6" s="103"/>
      <c r="Q6" s="104"/>
      <c r="R6" s="105" t="str">
        <f>IF(NOT(ISBLANK(P6)),(P6-$P$5)*General!$C$22,"")</f>
        <v/>
      </c>
      <c r="T6" s="106"/>
      <c r="U6" s="107"/>
    </row>
    <row r="7" spans="1:21" ht="15.95" customHeight="1" x14ac:dyDescent="0.25">
      <c r="A7" s="45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7"/>
      <c r="P7" s="103"/>
      <c r="Q7" s="104"/>
      <c r="R7" s="105" t="str">
        <f>IF(NOT(ISBLANK(P7)),(P7-$P$5)*General!$C$22,"")</f>
        <v/>
      </c>
      <c r="T7" s="106"/>
      <c r="U7" s="107"/>
    </row>
    <row r="8" spans="1:21" ht="15.95" customHeight="1" x14ac:dyDescent="0.25">
      <c r="A8" s="45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7"/>
      <c r="P8" s="103"/>
      <c r="Q8" s="104"/>
      <c r="R8" s="105" t="str">
        <f>IF(NOT(ISBLANK(P8)),(P8-$P$5)*General!$C$22,"")</f>
        <v/>
      </c>
      <c r="T8" s="106"/>
      <c r="U8" s="107"/>
    </row>
    <row r="9" spans="1:21" ht="15.95" customHeight="1" x14ac:dyDescent="0.25">
      <c r="A9" s="57"/>
      <c r="E9" s="50"/>
      <c r="F9" s="50"/>
      <c r="G9" s="50"/>
      <c r="H9" s="50"/>
      <c r="I9" s="50"/>
      <c r="J9" s="50"/>
      <c r="K9" s="50"/>
      <c r="L9" s="50"/>
      <c r="M9" s="52"/>
      <c r="P9" s="103"/>
      <c r="Q9" s="104"/>
      <c r="R9" s="105" t="str">
        <f>IF(NOT(ISBLANK(P9)),(P9-$P$5)*General!$C$22,"")</f>
        <v/>
      </c>
      <c r="T9" s="106"/>
      <c r="U9" s="107"/>
    </row>
    <row r="10" spans="1:21" ht="15.95" customHeight="1" x14ac:dyDescent="0.25">
      <c r="A10" s="58"/>
      <c r="B10" s="51"/>
      <c r="C10" s="51"/>
      <c r="D10" s="51"/>
      <c r="E10" s="50"/>
      <c r="F10" s="50"/>
      <c r="G10" s="50"/>
      <c r="H10" s="50"/>
      <c r="I10" s="50"/>
      <c r="J10" s="50"/>
      <c r="K10" s="50"/>
      <c r="L10" s="50"/>
      <c r="M10" s="52"/>
      <c r="P10" s="103"/>
      <c r="Q10" s="104"/>
      <c r="R10" s="105" t="str">
        <f>IF(NOT(ISBLANK(P10)),(P10-$P$5)*General!$C$22,"")</f>
        <v/>
      </c>
      <c r="T10" s="106"/>
      <c r="U10" s="107"/>
    </row>
    <row r="11" spans="1:21" ht="15.95" customHeight="1" x14ac:dyDescent="0.25">
      <c r="A11" s="58"/>
      <c r="B11" s="51"/>
      <c r="C11" s="51"/>
      <c r="D11" s="51"/>
      <c r="E11" s="50"/>
      <c r="F11" s="50"/>
      <c r="G11" s="50"/>
      <c r="H11" s="50"/>
      <c r="I11" s="50"/>
      <c r="J11" s="50"/>
      <c r="K11" s="50"/>
      <c r="L11" s="50"/>
      <c r="M11" s="52"/>
      <c r="P11" s="103"/>
      <c r="Q11" s="104"/>
      <c r="R11" s="105" t="str">
        <f>IF(NOT(ISBLANK(P11)),(P11-$P$5)*General!$C$22,"")</f>
        <v/>
      </c>
      <c r="T11" s="108"/>
      <c r="U11" s="109"/>
    </row>
    <row r="12" spans="1:21" ht="15.95" customHeight="1" x14ac:dyDescent="0.25">
      <c r="A12" s="58"/>
      <c r="B12" s="51"/>
      <c r="C12" s="51"/>
      <c r="D12" s="51"/>
      <c r="E12" s="50"/>
      <c r="F12" s="50"/>
      <c r="G12" s="50"/>
      <c r="H12" s="50"/>
      <c r="I12" s="50"/>
      <c r="J12" s="50"/>
      <c r="K12" s="50"/>
      <c r="L12" s="50"/>
      <c r="M12" s="52"/>
      <c r="P12" s="103"/>
      <c r="Q12" s="104"/>
      <c r="R12" s="105" t="str">
        <f>IF(NOT(ISBLANK(P12)),(P12-$P$5)*General!$C$22,"")</f>
        <v/>
      </c>
      <c r="T12" s="108"/>
      <c r="U12" s="109"/>
    </row>
    <row r="13" spans="1:21" ht="15.95" customHeight="1" x14ac:dyDescent="0.25">
      <c r="A13" s="58"/>
      <c r="B13" s="51"/>
      <c r="C13" s="51"/>
      <c r="D13" s="51"/>
      <c r="E13" s="50"/>
      <c r="F13" s="50"/>
      <c r="G13" s="50"/>
      <c r="H13" s="50"/>
      <c r="I13" s="50"/>
      <c r="J13" s="50"/>
      <c r="K13" s="50"/>
      <c r="L13" s="50"/>
      <c r="M13" s="52"/>
      <c r="P13" s="103"/>
      <c r="Q13" s="104"/>
      <c r="R13" s="105" t="str">
        <f>IF(NOT(ISBLANK(P13)),(P13-$P$5)*General!$C$22,"")</f>
        <v/>
      </c>
      <c r="T13" s="108"/>
      <c r="U13" s="109"/>
    </row>
    <row r="14" spans="1:21" ht="15.95" customHeight="1" x14ac:dyDescent="0.25">
      <c r="A14" s="58"/>
      <c r="B14" s="51"/>
      <c r="C14" s="51"/>
      <c r="D14" s="51"/>
      <c r="E14" s="50"/>
      <c r="F14" s="50"/>
      <c r="G14" s="50"/>
      <c r="H14" s="50"/>
      <c r="I14" s="50"/>
      <c r="J14" s="50"/>
      <c r="K14" s="50"/>
      <c r="L14" s="50"/>
      <c r="M14" s="52"/>
      <c r="P14" s="103"/>
      <c r="Q14" s="104"/>
      <c r="R14" s="105" t="str">
        <f>IF(NOT(ISBLANK(P14)),(P14-$P$5)*General!$C$22,"")</f>
        <v/>
      </c>
      <c r="T14" s="108"/>
      <c r="U14" s="109"/>
    </row>
    <row r="15" spans="1:21" ht="15.95" customHeight="1" x14ac:dyDescent="0.25">
      <c r="A15" s="58"/>
      <c r="B15" s="51"/>
      <c r="C15" s="51"/>
      <c r="D15" s="51"/>
      <c r="E15" s="50"/>
      <c r="F15" s="50"/>
      <c r="G15" s="59"/>
      <c r="H15" s="59"/>
      <c r="I15" s="59"/>
      <c r="J15" s="50"/>
      <c r="K15" s="50"/>
      <c r="L15" s="50"/>
      <c r="M15" s="52"/>
      <c r="P15" s="103"/>
      <c r="Q15" s="104"/>
      <c r="R15" s="105" t="str">
        <f>IF(NOT(ISBLANK(P15)),(P15-$P$5)*General!$C$22,"")</f>
        <v/>
      </c>
      <c r="T15" s="108"/>
      <c r="U15" s="109"/>
    </row>
    <row r="16" spans="1:21" ht="15.95" customHeight="1" x14ac:dyDescent="0.25">
      <c r="A16" s="58"/>
      <c r="B16" s="51"/>
      <c r="C16" s="51"/>
      <c r="D16" s="51"/>
      <c r="E16" s="50"/>
      <c r="F16" s="50"/>
      <c r="G16" s="50"/>
      <c r="H16" s="50"/>
      <c r="I16" s="50"/>
      <c r="J16" s="50"/>
      <c r="K16" s="50"/>
      <c r="L16" s="50"/>
      <c r="M16" s="52"/>
      <c r="P16" s="103"/>
      <c r="Q16" s="104"/>
      <c r="R16" s="105" t="str">
        <f>IF(NOT(ISBLANK(P16)),(P16-$P$5)*General!$C$22,"")</f>
        <v/>
      </c>
      <c r="T16" s="108"/>
      <c r="U16" s="109"/>
    </row>
    <row r="17" spans="1:21" ht="15.95" customHeight="1" x14ac:dyDescent="0.25">
      <c r="A17" s="58"/>
      <c r="B17" s="51"/>
      <c r="C17" s="51"/>
      <c r="D17" s="51"/>
      <c r="E17" s="60"/>
      <c r="F17" s="60"/>
      <c r="G17" s="60"/>
      <c r="H17" s="60"/>
      <c r="I17" s="60"/>
      <c r="J17" s="60"/>
      <c r="K17" s="60"/>
      <c r="L17" s="60"/>
      <c r="M17" s="61"/>
      <c r="P17" s="103"/>
      <c r="Q17" s="104"/>
      <c r="R17" s="105" t="str">
        <f>IF(NOT(ISBLANK(P17)),(P17-$P$5)*General!$C$22,"")</f>
        <v/>
      </c>
      <c r="T17" s="108"/>
      <c r="U17" s="109"/>
    </row>
    <row r="18" spans="1:21" ht="15.95" customHeight="1" x14ac:dyDescent="0.25">
      <c r="A18" s="45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7"/>
      <c r="P18" s="103"/>
      <c r="Q18" s="104"/>
      <c r="R18" s="105" t="str">
        <f>IF(NOT(ISBLANK(P18)),(P18-$P$5)*General!$C$22,"")</f>
        <v/>
      </c>
      <c r="T18" s="108"/>
      <c r="U18" s="109"/>
    </row>
    <row r="19" spans="1:21" ht="15.95" customHeight="1" x14ac:dyDescent="0.25">
      <c r="A19" s="45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7"/>
      <c r="P19" s="103"/>
      <c r="Q19" s="104"/>
      <c r="R19" s="105" t="str">
        <f>IF(NOT(ISBLANK(P19)),(P19-$P$5)*General!$C$22,"")</f>
        <v/>
      </c>
      <c r="T19" s="108"/>
      <c r="U19" s="109"/>
    </row>
    <row r="20" spans="1:21" ht="15.95" customHeight="1" x14ac:dyDescent="0.25">
      <c r="A20" s="58"/>
      <c r="B20" s="51"/>
      <c r="C20" s="51"/>
      <c r="D20" s="51"/>
      <c r="E20" s="50"/>
      <c r="F20" s="50"/>
      <c r="G20" s="50"/>
      <c r="H20" s="50"/>
      <c r="I20" s="50"/>
      <c r="J20" s="50"/>
      <c r="K20" s="50"/>
      <c r="L20" s="50"/>
      <c r="M20" s="52"/>
      <c r="P20" s="103"/>
      <c r="Q20" s="104"/>
      <c r="R20" s="105" t="str">
        <f>IF(NOT(ISBLANK(P20)),(P20-$P$5)*General!$C$22,"")</f>
        <v/>
      </c>
      <c r="T20" s="108"/>
      <c r="U20" s="109"/>
    </row>
    <row r="21" spans="1:21" ht="15.95" customHeight="1" x14ac:dyDescent="0.25">
      <c r="A21" s="58"/>
      <c r="B21" s="51"/>
      <c r="C21" s="51"/>
      <c r="D21" s="51"/>
      <c r="E21" s="50"/>
      <c r="F21" s="50"/>
      <c r="G21" s="50"/>
      <c r="H21" s="50"/>
      <c r="I21" s="50"/>
      <c r="J21" s="50"/>
      <c r="K21" s="50"/>
      <c r="L21" s="50"/>
      <c r="M21" s="52"/>
      <c r="P21" s="103"/>
      <c r="Q21" s="104"/>
      <c r="R21" s="105" t="str">
        <f>IF(NOT(ISBLANK(P21)),(P21-$P$5)*General!$C$22,"")</f>
        <v/>
      </c>
      <c r="T21" s="108"/>
      <c r="U21" s="109"/>
    </row>
    <row r="22" spans="1:21" ht="15.95" customHeight="1" x14ac:dyDescent="0.25">
      <c r="A22" s="58"/>
      <c r="B22" s="51"/>
      <c r="C22" s="51"/>
      <c r="D22" s="51"/>
      <c r="E22" s="50"/>
      <c r="F22" s="50"/>
      <c r="G22" s="50"/>
      <c r="H22" s="50"/>
      <c r="I22" s="50"/>
      <c r="J22" s="50"/>
      <c r="K22" s="50"/>
      <c r="L22" s="50"/>
      <c r="M22" s="52"/>
      <c r="P22" s="103"/>
      <c r="Q22" s="104"/>
      <c r="R22" s="105" t="str">
        <f>IF(NOT(ISBLANK(P22)),(P22-$P$5)*General!$C$22,"")</f>
        <v/>
      </c>
      <c r="T22" s="108"/>
      <c r="U22" s="109"/>
    </row>
    <row r="23" spans="1:21" ht="15.95" customHeight="1" x14ac:dyDescent="0.25">
      <c r="A23" s="58"/>
      <c r="B23" s="51"/>
      <c r="C23" s="51"/>
      <c r="D23" s="51"/>
      <c r="E23" s="50"/>
      <c r="F23" s="50"/>
      <c r="G23" s="50"/>
      <c r="H23" s="50"/>
      <c r="I23" s="50"/>
      <c r="J23" s="50"/>
      <c r="K23" s="50"/>
      <c r="L23" s="50"/>
      <c r="M23" s="52"/>
      <c r="P23" s="103"/>
      <c r="Q23" s="104"/>
      <c r="R23" s="105" t="str">
        <f>IF(NOT(ISBLANK(P23)),(P23-$P$5)*General!$C$22,"")</f>
        <v/>
      </c>
      <c r="T23" s="108"/>
      <c r="U23" s="109"/>
    </row>
    <row r="24" spans="1:21" ht="15.95" customHeight="1" x14ac:dyDescent="0.25">
      <c r="A24" s="58"/>
      <c r="B24" s="51"/>
      <c r="C24" s="51"/>
      <c r="D24" s="51"/>
      <c r="E24" s="62"/>
      <c r="F24" s="62"/>
      <c r="G24" s="62"/>
      <c r="H24" s="62"/>
      <c r="I24" s="62"/>
      <c r="J24" s="62"/>
      <c r="K24" s="62"/>
      <c r="L24" s="62"/>
      <c r="M24" s="63"/>
      <c r="P24" s="103"/>
      <c r="Q24" s="104"/>
      <c r="R24" s="105" t="str">
        <f>IF(NOT(ISBLANK(P24)),(P24-$P$5)*General!$C$22,"")</f>
        <v/>
      </c>
      <c r="T24" s="108"/>
      <c r="U24" s="109"/>
    </row>
    <row r="25" spans="1:21" ht="15.95" customHeight="1" x14ac:dyDescent="0.25">
      <c r="A25" s="58"/>
      <c r="B25" s="51"/>
      <c r="C25" s="51"/>
      <c r="D25" s="51"/>
      <c r="E25" s="50"/>
      <c r="F25" s="50"/>
      <c r="G25" s="50"/>
      <c r="H25" s="50"/>
      <c r="I25" s="50"/>
      <c r="J25" s="50"/>
      <c r="K25" s="50"/>
      <c r="L25" s="50"/>
      <c r="M25" s="52"/>
      <c r="P25" s="103"/>
      <c r="Q25" s="104"/>
      <c r="R25" s="105" t="str">
        <f>IF(NOT(ISBLANK(P25)),(P25-$P$5)*General!$C$22,"")</f>
        <v/>
      </c>
      <c r="T25" s="108"/>
      <c r="U25" s="109"/>
    </row>
    <row r="26" spans="1:21" ht="15.95" customHeight="1" x14ac:dyDescent="0.25">
      <c r="A26" s="45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7"/>
      <c r="P26" s="103"/>
      <c r="Q26" s="104"/>
      <c r="R26" s="105" t="str">
        <f>IF(NOT(ISBLANK(P26)),(P26-$P$5)*General!$C$22,"")</f>
        <v/>
      </c>
      <c r="T26" s="108"/>
      <c r="U26" s="109"/>
    </row>
    <row r="27" spans="1:21" ht="15.9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7"/>
      <c r="P27" s="103"/>
      <c r="Q27" s="104"/>
      <c r="R27" s="105" t="str">
        <f>IF(NOT(ISBLANK(P27)),(P27-$P$5)*General!$C$22,"")</f>
        <v/>
      </c>
      <c r="T27" s="108"/>
      <c r="U27" s="109"/>
    </row>
    <row r="28" spans="1:21" ht="15.95" customHeight="1" x14ac:dyDescent="0.25">
      <c r="A28" s="58"/>
      <c r="B28" s="51"/>
      <c r="C28" s="51"/>
      <c r="D28" s="51"/>
      <c r="E28" s="50"/>
      <c r="F28" s="50"/>
      <c r="G28" s="50"/>
      <c r="H28" s="50"/>
      <c r="I28" s="50"/>
      <c r="J28" s="50"/>
      <c r="K28" s="50"/>
      <c r="L28" s="50"/>
      <c r="M28" s="52"/>
      <c r="P28" s="103"/>
      <c r="Q28" s="104"/>
      <c r="R28" s="105" t="str">
        <f>IF(NOT(ISBLANK(P28)),(P28-$P$5)*General!$C$22,"")</f>
        <v/>
      </c>
      <c r="T28" s="108"/>
      <c r="U28" s="109"/>
    </row>
    <row r="29" spans="1:21" ht="15.95" customHeight="1" x14ac:dyDescent="0.25">
      <c r="A29" s="58"/>
      <c r="B29" s="51"/>
      <c r="C29" s="51"/>
      <c r="D29" s="51"/>
      <c r="E29" s="50"/>
      <c r="F29" s="50"/>
      <c r="G29" s="50"/>
      <c r="H29" s="50"/>
      <c r="I29" s="50"/>
      <c r="J29" s="50"/>
      <c r="K29" s="50"/>
      <c r="L29" s="50"/>
      <c r="M29" s="52"/>
      <c r="P29" s="103"/>
      <c r="Q29" s="104"/>
      <c r="R29" s="105" t="str">
        <f>IF(NOT(ISBLANK(P29)),(P29-$P$5)*General!$C$22,"")</f>
        <v/>
      </c>
      <c r="T29" s="108"/>
      <c r="U29" s="109"/>
    </row>
    <row r="30" spans="1:21" ht="15.95" customHeight="1" x14ac:dyDescent="0.25">
      <c r="A30" s="64"/>
      <c r="B30" s="65"/>
      <c r="C30" s="65"/>
      <c r="D30" s="65"/>
      <c r="E30" s="66"/>
      <c r="F30" s="66"/>
      <c r="G30" s="66"/>
      <c r="H30" s="66"/>
      <c r="I30" s="66"/>
      <c r="J30" s="66"/>
      <c r="K30" s="66"/>
      <c r="L30" s="66"/>
      <c r="M30" s="67"/>
      <c r="P30" s="103"/>
      <c r="Q30" s="104"/>
      <c r="R30" s="105" t="str">
        <f>IF(NOT(ISBLANK(P30)),(P30-$P$5)*General!$C$22,"")</f>
        <v/>
      </c>
      <c r="T30" s="108"/>
      <c r="U30" s="109"/>
    </row>
    <row r="31" spans="1:21" ht="15.95" customHeight="1" x14ac:dyDescent="0.25">
      <c r="A31" s="58"/>
      <c r="B31" s="51"/>
      <c r="C31" s="51"/>
      <c r="D31" s="51"/>
      <c r="E31" s="50"/>
      <c r="F31" s="50"/>
      <c r="G31" s="50"/>
      <c r="H31" s="50"/>
      <c r="I31" s="50"/>
      <c r="J31" s="50"/>
      <c r="K31" s="50"/>
      <c r="L31" s="50"/>
      <c r="M31" s="52"/>
      <c r="P31" s="103"/>
      <c r="Q31" s="104"/>
      <c r="R31" s="105" t="str">
        <f>IF(NOT(ISBLANK(P31)),(P31-$P$5)*General!$C$22,"")</f>
        <v/>
      </c>
      <c r="T31" s="108"/>
      <c r="U31" s="109"/>
    </row>
    <row r="32" spans="1:21" ht="15.95" customHeight="1" x14ac:dyDescent="0.25">
      <c r="A32" s="58"/>
      <c r="B32" s="51"/>
      <c r="C32" s="51"/>
      <c r="D32" s="51"/>
      <c r="E32" s="50"/>
      <c r="F32" s="50"/>
      <c r="G32" s="50"/>
      <c r="H32" s="50"/>
      <c r="I32" s="50"/>
      <c r="J32" s="50"/>
      <c r="K32" s="50"/>
      <c r="L32" s="50"/>
      <c r="M32" s="52"/>
      <c r="P32" s="103"/>
      <c r="Q32" s="104"/>
      <c r="R32" s="105" t="str">
        <f>IF(NOT(ISBLANK(P32)),(P32-$P$5)*General!$C$22,"")</f>
        <v/>
      </c>
      <c r="T32" s="108"/>
      <c r="U32" s="109"/>
    </row>
    <row r="33" spans="1:21" ht="15.95" customHeight="1" x14ac:dyDescent="0.25">
      <c r="A33" s="58"/>
      <c r="B33" s="51"/>
      <c r="C33" s="51"/>
      <c r="D33" s="51"/>
      <c r="E33" s="50"/>
      <c r="F33" s="50"/>
      <c r="G33" s="50"/>
      <c r="H33" s="50"/>
      <c r="I33" s="50"/>
      <c r="J33" s="50"/>
      <c r="K33" s="50"/>
      <c r="L33" s="50"/>
      <c r="M33" s="52"/>
      <c r="P33" s="103"/>
      <c r="Q33" s="104"/>
      <c r="R33" s="105" t="str">
        <f>IF(NOT(ISBLANK(P33)),(P33-$P$5)*General!$C$22,"")</f>
        <v/>
      </c>
      <c r="T33" s="108"/>
      <c r="U33" s="109"/>
    </row>
    <row r="34" spans="1:21" ht="15.95" customHeight="1" x14ac:dyDescent="0.25">
      <c r="A34" s="58"/>
      <c r="B34" s="51"/>
      <c r="C34" s="51"/>
      <c r="D34" s="51"/>
      <c r="E34" s="50"/>
      <c r="F34" s="50"/>
      <c r="G34" s="50"/>
      <c r="H34" s="50"/>
      <c r="I34" s="50"/>
      <c r="J34" s="50"/>
      <c r="K34" s="50"/>
      <c r="L34" s="50"/>
      <c r="M34" s="52"/>
      <c r="P34" s="103"/>
      <c r="Q34" s="104"/>
      <c r="R34" s="105" t="str">
        <f>IF(NOT(ISBLANK(P34)),(P34-$P$5)*General!$C$22,"")</f>
        <v/>
      </c>
      <c r="T34" s="108"/>
      <c r="U34" s="109"/>
    </row>
    <row r="35" spans="1:21" ht="15.95" customHeight="1" x14ac:dyDescent="0.25">
      <c r="A35" s="58"/>
      <c r="B35" s="51"/>
      <c r="C35" s="51"/>
      <c r="D35" s="51"/>
      <c r="E35" s="50"/>
      <c r="F35" s="50"/>
      <c r="G35" s="50"/>
      <c r="H35" s="50"/>
      <c r="I35" s="50"/>
      <c r="J35" s="50"/>
      <c r="K35" s="50"/>
      <c r="L35" s="50"/>
      <c r="M35" s="52"/>
      <c r="P35" s="103"/>
      <c r="Q35" s="104"/>
      <c r="R35" s="105" t="str">
        <f>IF(NOT(ISBLANK(P35)),(P35-$P$5)*General!$C$22,"")</f>
        <v/>
      </c>
      <c r="T35" s="108"/>
      <c r="U35" s="109"/>
    </row>
    <row r="36" spans="1:21" ht="15.95" customHeight="1" x14ac:dyDescent="0.25">
      <c r="A36" s="58"/>
      <c r="B36" s="51"/>
      <c r="C36" s="51"/>
      <c r="D36" s="51"/>
      <c r="E36" s="68"/>
      <c r="F36" s="68"/>
      <c r="G36" s="68"/>
      <c r="H36" s="68"/>
      <c r="I36" s="68"/>
      <c r="J36" s="68"/>
      <c r="K36" s="68"/>
      <c r="L36" s="68"/>
      <c r="M36" s="69"/>
      <c r="P36" s="103"/>
      <c r="Q36" s="104"/>
      <c r="R36" s="105" t="str">
        <f>IF(NOT(ISBLANK(P36)),(P36-$P$5)*General!$C$22,"")</f>
        <v/>
      </c>
      <c r="T36" s="108"/>
      <c r="U36" s="109"/>
    </row>
    <row r="37" spans="1:21" ht="15.95" customHeight="1" x14ac:dyDescent="0.25">
      <c r="A37" s="70"/>
      <c r="B37" s="71"/>
      <c r="C37" s="71"/>
      <c r="D37" s="71"/>
      <c r="E37" s="72"/>
      <c r="F37" s="73"/>
      <c r="G37" s="73"/>
      <c r="H37" s="73"/>
      <c r="I37" s="73"/>
      <c r="J37" s="73"/>
      <c r="K37" s="73"/>
      <c r="L37" s="73"/>
      <c r="M37" s="74"/>
      <c r="P37" s="103"/>
      <c r="Q37" s="104"/>
      <c r="R37" s="105" t="str">
        <f>IF(NOT(ISBLANK(P37)),(P37-$P$5)*General!$C$22,"")</f>
        <v/>
      </c>
      <c r="T37" s="108"/>
      <c r="U37" s="109"/>
    </row>
    <row r="38" spans="1:21" ht="15.95" customHeight="1" x14ac:dyDescent="0.25">
      <c r="A38" s="75"/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7"/>
      <c r="P38" s="103"/>
      <c r="Q38" s="104"/>
      <c r="R38" s="105" t="str">
        <f>IF(NOT(ISBLANK(P38)),(P38-$P$5)*General!$C$22,"")</f>
        <v/>
      </c>
      <c r="T38" s="108"/>
      <c r="U38" s="109"/>
    </row>
    <row r="39" spans="1:21" ht="15.95" customHeight="1" x14ac:dyDescent="0.25">
      <c r="A39" s="78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2"/>
      <c r="P39" s="103"/>
      <c r="Q39" s="104"/>
      <c r="R39" s="105" t="str">
        <f>IF(NOT(ISBLANK(P39)),(P39-$P$5)*General!$C$22,"")</f>
        <v/>
      </c>
      <c r="T39" s="108"/>
      <c r="U39" s="109"/>
    </row>
    <row r="40" spans="1:21" ht="15.95" customHeight="1" x14ac:dyDescent="0.25">
      <c r="A40" s="78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2"/>
      <c r="P40" s="103"/>
      <c r="Q40" s="104"/>
      <c r="R40" s="105" t="str">
        <f>IF(NOT(ISBLANK(P40)),(P40-$P$5)*General!$C$22,"")</f>
        <v/>
      </c>
      <c r="T40" s="108"/>
      <c r="U40" s="109"/>
    </row>
    <row r="41" spans="1:21" ht="23.1" customHeight="1" x14ac:dyDescent="0.25">
      <c r="A41" s="79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80"/>
      <c r="P41" s="103"/>
      <c r="Q41" s="104"/>
      <c r="R41" s="105" t="str">
        <f>IF(NOT(ISBLANK(P41)),(P41-$P$5)*General!$C$22,"")</f>
        <v/>
      </c>
      <c r="T41" s="108"/>
      <c r="U41" s="109"/>
    </row>
    <row r="42" spans="1:21" ht="15.95" customHeight="1" x14ac:dyDescent="0.25">
      <c r="A42" s="79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80"/>
      <c r="P42" s="103"/>
      <c r="Q42" s="104"/>
      <c r="R42" s="105" t="str">
        <f>IF(NOT(ISBLANK(P42)),(P42-$P$5)*General!$C$22,"")</f>
        <v/>
      </c>
      <c r="T42" s="108"/>
      <c r="U42" s="109"/>
    </row>
    <row r="43" spans="1:21" ht="15.95" customHeight="1" x14ac:dyDescent="0.25">
      <c r="A43" s="58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80"/>
      <c r="P43" s="103"/>
      <c r="Q43" s="104"/>
      <c r="R43" s="105" t="str">
        <f>IF(NOT(ISBLANK(P43)),(P43-$P$5)*General!$C$22,"")</f>
        <v/>
      </c>
      <c r="T43" s="108"/>
      <c r="U43" s="109"/>
    </row>
    <row r="44" spans="1:21" ht="15.95" customHeight="1" x14ac:dyDescent="0.25">
      <c r="A44" s="81" t="str">
        <f>IF(General!F32&lt;&gt;"",General!F32,"")</f>
        <v/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80"/>
      <c r="P44" s="103"/>
      <c r="Q44" s="104"/>
      <c r="R44" s="105" t="str">
        <f>IF(NOT(ISBLANK(P44)),(P44-$P$5)*General!$C$22,"")</f>
        <v/>
      </c>
      <c r="T44" s="108"/>
      <c r="U44" s="109"/>
    </row>
    <row r="45" spans="1:21" x14ac:dyDescent="0.25">
      <c r="A45" s="82" t="str">
        <f>General!B5</f>
        <v>Project nr.</v>
      </c>
      <c r="B45" s="83"/>
      <c r="C45" s="83"/>
      <c r="D45" s="83"/>
      <c r="E45" s="84"/>
      <c r="F45" s="84"/>
      <c r="G45" s="83"/>
      <c r="H45" s="83"/>
      <c r="I45" s="85" t="str">
        <f>IF(General!C6&lt;&gt;"",General!B6 &amp; ":  " &amp; General!C6,"") &amp; IF(General!C7&lt;&gt;"", "  " &amp; General!B7 &amp; ":  " &amp; General!C7,"") &amp; " "</f>
        <v xml:space="preserve"> </v>
      </c>
      <c r="J45" s="86" t="str">
        <f>General!B8</f>
        <v>Borehole</v>
      </c>
      <c r="K45" s="84"/>
      <c r="L45" s="84"/>
      <c r="M45" s="116" t="str">
        <f>Calculations!H9</f>
        <v/>
      </c>
      <c r="P45" s="103"/>
      <c r="Q45" s="104"/>
      <c r="R45" s="105" t="str">
        <f>IF(NOT(ISBLANK(P45)),(P45-$P$5)*General!$C$22,"")</f>
        <v/>
      </c>
      <c r="T45" s="108"/>
      <c r="U45" s="109"/>
    </row>
    <row r="46" spans="1:21" ht="18" x14ac:dyDescent="0.25">
      <c r="A46" s="346" t="str">
        <f>IF(General!C5&lt;&gt;"",General!C5,"")</f>
        <v>Project name</v>
      </c>
      <c r="B46" s="347"/>
      <c r="C46" s="347"/>
      <c r="D46" s="347"/>
      <c r="E46" s="347"/>
      <c r="F46" s="347"/>
      <c r="G46" s="347"/>
      <c r="H46" s="347"/>
      <c r="I46" s="347"/>
      <c r="J46" s="328" t="str">
        <f>IF(General!C8&lt;&gt;"",General!C8,"")</f>
        <v/>
      </c>
      <c r="K46" s="329"/>
      <c r="L46" s="329"/>
      <c r="M46" s="330"/>
      <c r="P46" s="103"/>
      <c r="Q46" s="104"/>
      <c r="R46" s="105" t="str">
        <f>IF(NOT(ISBLANK(P46)),(P46-$P$5)*General!$C$22,"")</f>
        <v/>
      </c>
      <c r="T46" s="108"/>
      <c r="U46" s="109"/>
    </row>
    <row r="47" spans="1:21" ht="15" customHeight="1" x14ac:dyDescent="0.25">
      <c r="A47" s="87" t="str">
        <f>General!B31</f>
        <v>Content</v>
      </c>
      <c r="B47" s="88"/>
      <c r="C47" s="88"/>
      <c r="D47" s="88"/>
      <c r="E47" s="88"/>
      <c r="F47" s="88"/>
      <c r="G47" s="88"/>
      <c r="H47" s="88"/>
      <c r="I47" s="88"/>
      <c r="J47" s="331"/>
      <c r="K47" s="332"/>
      <c r="L47" s="332"/>
      <c r="M47" s="333"/>
      <c r="P47" s="103"/>
      <c r="Q47" s="104"/>
      <c r="R47" s="105" t="str">
        <f>IF(NOT(ISBLANK(P47)),(P47-$P$5)*General!$C$22,"")</f>
        <v/>
      </c>
      <c r="T47" s="108"/>
      <c r="U47" s="109"/>
    </row>
    <row r="48" spans="1:21" ht="18" customHeight="1" x14ac:dyDescent="0.25">
      <c r="A48" s="348" t="str">
        <f>General!B32</f>
        <v>In-situ pore pressure, total- and effective vertical stress in calculations</v>
      </c>
      <c r="B48" s="349"/>
      <c r="C48" s="349"/>
      <c r="D48" s="349"/>
      <c r="E48" s="349"/>
      <c r="F48" s="349"/>
      <c r="G48" s="349"/>
      <c r="H48" s="349"/>
      <c r="I48" s="349"/>
      <c r="J48" s="86" t="str">
        <f>General!B19</f>
        <v>Field team leader</v>
      </c>
      <c r="K48" s="124"/>
      <c r="L48" s="124"/>
      <c r="M48" s="122"/>
      <c r="P48" s="103"/>
      <c r="Q48" s="104"/>
      <c r="R48" s="105" t="str">
        <f>IF(NOT(ISBLANK(P48)),(P48-$P$5)*General!$C$22,"")</f>
        <v/>
      </c>
      <c r="T48" s="108"/>
      <c r="U48" s="109"/>
    </row>
    <row r="49" spans="1:21" ht="15" customHeight="1" x14ac:dyDescent="0.25">
      <c r="A49" s="91"/>
      <c r="B49" s="88"/>
      <c r="C49" s="89" t="str">
        <f>General!B13</f>
        <v>Completed</v>
      </c>
      <c r="D49" s="92"/>
      <c r="E49" s="90" t="str">
        <f>General!B14</f>
        <v>Controlled</v>
      </c>
      <c r="F49" s="92"/>
      <c r="G49" s="90" t="str">
        <f>General!B15</f>
        <v>Approved</v>
      </c>
      <c r="H49" s="90"/>
      <c r="I49" s="92"/>
      <c r="J49" s="337" t="str">
        <f>General!C19</f>
        <v/>
      </c>
      <c r="K49" s="338"/>
      <c r="L49" s="338"/>
      <c r="M49" s="339"/>
      <c r="P49" s="103"/>
      <c r="Q49" s="104"/>
      <c r="R49" s="105" t="str">
        <f>IF(NOT(ISBLANK(P49)),(P49-$P$5)*General!$C$22,"")</f>
        <v/>
      </c>
      <c r="T49" s="108"/>
      <c r="U49" s="109"/>
    </row>
    <row r="50" spans="1:21" ht="15" customHeight="1" x14ac:dyDescent="0.25">
      <c r="A50" s="91"/>
      <c r="B50" s="88"/>
      <c r="C50" s="350" t="str">
        <f>IF(General!C13&lt;&gt;"",General!C13,"")</f>
        <v/>
      </c>
      <c r="D50" s="351"/>
      <c r="E50" s="352" t="str">
        <f>IF(General!C14&lt;&gt;"",General!C14,"")</f>
        <v/>
      </c>
      <c r="F50" s="353"/>
      <c r="G50" s="354" t="str">
        <f>IF(General!C15&lt;&gt;"",General!C15,"")</f>
        <v/>
      </c>
      <c r="H50" s="354"/>
      <c r="I50" s="351"/>
      <c r="J50" s="89" t="str">
        <f>General!C31</f>
        <v>Figure</v>
      </c>
      <c r="K50" s="121"/>
      <c r="L50" s="121"/>
      <c r="M50" s="120"/>
      <c r="P50" s="103"/>
      <c r="Q50" s="104"/>
      <c r="R50" s="105" t="str">
        <f>IF(NOT(ISBLANK(P50)),(P50-$P$5)*General!$C$22,"")</f>
        <v/>
      </c>
      <c r="T50" s="108"/>
      <c r="U50" s="109"/>
    </row>
    <row r="51" spans="1:21" ht="15" customHeight="1" x14ac:dyDescent="0.25">
      <c r="A51" s="91"/>
      <c r="B51" s="88"/>
      <c r="C51" s="86" t="str">
        <f>General!B4</f>
        <v>Company</v>
      </c>
      <c r="D51" s="93"/>
      <c r="E51" s="84" t="str">
        <f>General!B18</f>
        <v>Date sounding</v>
      </c>
      <c r="F51" s="93"/>
      <c r="G51" s="94" t="str">
        <f>General!D31</f>
        <v>Revision</v>
      </c>
      <c r="H51" s="326" t="str">
        <f>IF(General!D32&lt;&gt;"",General!D32,"")</f>
        <v/>
      </c>
      <c r="I51" s="327"/>
      <c r="J51" s="328">
        <f>IF(General!C32&lt;&gt;"",General!C32,"")</f>
        <v>1</v>
      </c>
      <c r="K51" s="329"/>
      <c r="L51" s="329"/>
      <c r="M51" s="330"/>
      <c r="P51" s="103"/>
      <c r="Q51" s="104"/>
      <c r="R51" s="105" t="str">
        <f>IF(NOT(ISBLANK(P51)),(P51-$P$5)*General!$C$22,"")</f>
        <v/>
      </c>
      <c r="T51" s="108"/>
      <c r="U51" s="109"/>
    </row>
    <row r="52" spans="1:21" ht="15.75" customHeight="1" thickBot="1" x14ac:dyDescent="0.3">
      <c r="A52" s="95"/>
      <c r="B52" s="96"/>
      <c r="C52" s="340" t="str">
        <f>IF(General!C4&lt;&gt;"",General!C4,"")</f>
        <v>NPRA</v>
      </c>
      <c r="D52" s="341"/>
      <c r="E52" s="342" t="str">
        <f>IF(General!C18&lt;&gt;"",General!C18,"")</f>
        <v/>
      </c>
      <c r="F52" s="343"/>
      <c r="G52" s="97" t="str">
        <f>General!E31</f>
        <v>Rev. Date</v>
      </c>
      <c r="H52" s="344" t="str">
        <f>IF(General!E32&lt;&gt;"",General!E32,"")</f>
        <v/>
      </c>
      <c r="I52" s="345"/>
      <c r="J52" s="334"/>
      <c r="K52" s="335"/>
      <c r="L52" s="335"/>
      <c r="M52" s="336"/>
      <c r="P52" s="103"/>
      <c r="Q52" s="104"/>
      <c r="R52" s="105" t="str">
        <f>IF(NOT(ISBLANK(P52)),(P52-$P$5)*General!$C$22,"")</f>
        <v/>
      </c>
      <c r="T52" s="108"/>
      <c r="U52" s="109"/>
    </row>
  </sheetData>
  <mergeCells count="14">
    <mergeCell ref="C52:D52"/>
    <mergeCell ref="E52:F52"/>
    <mergeCell ref="H52:I52"/>
    <mergeCell ref="A46:I46"/>
    <mergeCell ref="A48:I48"/>
    <mergeCell ref="C50:D50"/>
    <mergeCell ref="E50:F50"/>
    <mergeCell ref="G50:I50"/>
    <mergeCell ref="P2:R2"/>
    <mergeCell ref="T2:U2"/>
    <mergeCell ref="H51:I51"/>
    <mergeCell ref="J46:M47"/>
    <mergeCell ref="J51:M52"/>
    <mergeCell ref="J49:M49"/>
  </mergeCells>
  <conditionalFormatting sqref="U6:U52">
    <cfRule type="expression" dxfId="3" priority="2">
      <formula>AND(NOT(ISBLANK(T6)),ISBLANK(U6))</formula>
    </cfRule>
  </conditionalFormatting>
  <conditionalFormatting sqref="P5">
    <cfRule type="expression" dxfId="2" priority="1">
      <formula>ISBLANK($P$5)</formula>
    </cfRule>
  </conditionalFormatting>
  <printOptions horizontalCentered="1" verticalCentered="1"/>
  <pageMargins left="0.23622047244094491" right="0.23622047244094491" top="0.23622047244094491" bottom="0.23622047244094491" header="0" footer="0"/>
  <pageSetup paperSize="9" orientation="portrait" r:id="rId1"/>
  <headerFooter>
    <oddFooter>&amp;L&amp;"Lucida Sans Unicode,Normal Italic"&amp;7&amp;K01+046&amp;Z&amp;F&amp;R&amp;"Lucida Sans Unicode,Normal Italic"&amp;7&amp;K01+046TOTAL v.2024_02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050E3-437E-405E-A71D-BE831F3D16F9}">
  <sheetPr codeName="S_02_profile">
    <tabColor rgb="FF444F55"/>
  </sheetPr>
  <dimension ref="A1:T52"/>
  <sheetViews>
    <sheetView zoomScaleNormal="100" workbookViewId="0"/>
  </sheetViews>
  <sheetFormatPr defaultRowHeight="15" x14ac:dyDescent="0.25"/>
  <cols>
    <col min="1" max="7" width="9.85546875" customWidth="1"/>
    <col min="8" max="8" width="2.28515625" customWidth="1"/>
    <col min="9" max="9" width="8.85546875" customWidth="1"/>
    <col min="10" max="10" width="7" customWidth="1"/>
    <col min="11" max="11" width="1.85546875" customWidth="1"/>
    <col min="12" max="12" width="2.28515625" customWidth="1"/>
    <col min="13" max="13" width="7.42578125" customWidth="1"/>
    <col min="16" max="16" width="24.140625" customWidth="1"/>
    <col min="17" max="17" width="13.85546875" customWidth="1"/>
    <col min="18" max="18" width="8.7109375" style="251" customWidth="1"/>
    <col min="19" max="19" width="8.28515625" customWidth="1"/>
  </cols>
  <sheetData>
    <row r="1" spans="1:20" ht="15.95" customHeight="1" x14ac:dyDescent="0.25">
      <c r="A1" s="42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4"/>
    </row>
    <row r="2" spans="1:20" ht="15.95" customHeight="1" x14ac:dyDescent="0.25">
      <c r="A2" s="45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7"/>
      <c r="P2" s="325" t="s">
        <v>160</v>
      </c>
      <c r="Q2" s="325"/>
      <c r="R2" s="325"/>
      <c r="S2" s="325"/>
    </row>
    <row r="3" spans="1:20" ht="15.95" customHeight="1" x14ac:dyDescent="0.25">
      <c r="A3" s="48"/>
      <c r="B3" s="49"/>
      <c r="C3" s="49"/>
      <c r="D3" s="50"/>
      <c r="E3" s="50"/>
      <c r="F3" s="51"/>
      <c r="G3" s="51"/>
      <c r="H3" s="51"/>
      <c r="I3" s="51"/>
      <c r="J3" s="50"/>
      <c r="K3" s="50"/>
      <c r="L3" s="50"/>
      <c r="M3" s="52"/>
      <c r="P3" s="151" t="s">
        <v>66</v>
      </c>
      <c r="Q3" s="152">
        <v>0</v>
      </c>
      <c r="S3" s="111" t="s">
        <v>3</v>
      </c>
    </row>
    <row r="4" spans="1:20" ht="15.95" customHeight="1" x14ac:dyDescent="0.25">
      <c r="A4" s="48"/>
      <c r="B4" s="49"/>
      <c r="C4" s="49"/>
      <c r="D4" s="50"/>
      <c r="E4" s="50"/>
      <c r="F4" s="51"/>
      <c r="G4" s="51"/>
      <c r="H4" s="51"/>
      <c r="I4" s="51"/>
      <c r="J4" s="50"/>
      <c r="K4" s="50"/>
      <c r="L4" s="50"/>
      <c r="M4" s="52"/>
      <c r="P4" s="151" t="s">
        <v>67</v>
      </c>
      <c r="Q4" s="252">
        <f>R4</f>
        <v>-1E-3</v>
      </c>
      <c r="R4" s="253">
        <f xml:space="preserve"> IF( Calculations!I4&lt;General!C27, Calculations!I4-General!C27, 0 ) * Calculations!T5</f>
        <v>-1E-3</v>
      </c>
      <c r="S4" s="111" t="s">
        <v>9</v>
      </c>
      <c r="T4" t="str">
        <f>IF(Q4&lt;-General!C27,"Negative Fdt,!check if desired! See cell General:C26","")</f>
        <v/>
      </c>
    </row>
    <row r="5" spans="1:20" ht="15.95" customHeight="1" x14ac:dyDescent="0.25">
      <c r="A5" s="48"/>
      <c r="B5" s="49"/>
      <c r="C5" s="49"/>
      <c r="D5" s="53"/>
      <c r="E5" s="53"/>
      <c r="F5" s="51"/>
      <c r="G5" s="51"/>
      <c r="H5" s="51"/>
      <c r="I5" s="51"/>
      <c r="J5" s="54"/>
      <c r="K5" s="54"/>
      <c r="L5" s="54"/>
      <c r="M5" s="55"/>
      <c r="P5" t="s">
        <v>169</v>
      </c>
      <c r="Q5" s="174">
        <v>-1E-4</v>
      </c>
      <c r="S5" s="173" t="s">
        <v>49</v>
      </c>
      <c r="T5" s="320"/>
    </row>
    <row r="6" spans="1:20" ht="15.95" customHeight="1" x14ac:dyDescent="0.25">
      <c r="A6" s="48"/>
      <c r="B6" s="49"/>
      <c r="C6" s="49"/>
      <c r="D6" s="53"/>
      <c r="E6" s="53"/>
      <c r="F6" s="51"/>
      <c r="G6" s="51"/>
      <c r="H6" s="51"/>
      <c r="I6" s="51"/>
      <c r="J6" s="56"/>
      <c r="K6" s="50"/>
      <c r="L6" s="50"/>
      <c r="M6" s="52"/>
      <c r="P6" s="151" t="s">
        <v>72</v>
      </c>
      <c r="Q6" s="174">
        <v>-1E-4</v>
      </c>
      <c r="S6" s="111" t="s">
        <v>51</v>
      </c>
    </row>
    <row r="7" spans="1:20" ht="15.95" customHeight="1" x14ac:dyDescent="0.25">
      <c r="A7" s="45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7"/>
      <c r="P7" s="151" t="s">
        <v>77</v>
      </c>
      <c r="Q7" s="174">
        <v>-1E-4</v>
      </c>
      <c r="S7" s="111" t="s">
        <v>51</v>
      </c>
      <c r="T7" s="321" t="s">
        <v>500</v>
      </c>
    </row>
    <row r="8" spans="1:20" ht="15.95" customHeight="1" x14ac:dyDescent="0.25">
      <c r="A8" s="45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7"/>
    </row>
    <row r="9" spans="1:20" ht="15.95" customHeight="1" x14ac:dyDescent="0.25">
      <c r="A9" s="57"/>
      <c r="E9" s="50"/>
      <c r="F9" s="50"/>
      <c r="G9" s="50"/>
      <c r="H9" s="50"/>
      <c r="I9" s="50"/>
      <c r="J9" s="50"/>
      <c r="K9" s="50"/>
      <c r="L9" s="50"/>
      <c r="M9" s="52"/>
    </row>
    <row r="10" spans="1:20" ht="15.95" customHeight="1" x14ac:dyDescent="0.25">
      <c r="A10" s="58"/>
      <c r="B10" s="51"/>
      <c r="C10" s="51"/>
      <c r="D10" s="51"/>
      <c r="E10" s="50"/>
      <c r="F10" s="50"/>
      <c r="G10" s="50"/>
      <c r="H10" s="50"/>
      <c r="I10" s="50"/>
      <c r="J10" s="50"/>
      <c r="K10" s="50"/>
      <c r="L10" s="50"/>
      <c r="M10" s="52"/>
    </row>
    <row r="11" spans="1:20" ht="15.95" customHeight="1" x14ac:dyDescent="0.25">
      <c r="A11" s="58"/>
      <c r="B11" s="51"/>
      <c r="C11" s="51"/>
      <c r="D11" s="51"/>
      <c r="E11" s="50"/>
      <c r="F11" s="50"/>
      <c r="G11" s="50"/>
      <c r="H11" s="50"/>
      <c r="I11" s="50"/>
      <c r="J11" s="50"/>
      <c r="K11" s="50"/>
      <c r="L11" s="50"/>
      <c r="M11" s="52"/>
      <c r="P11" s="325" t="s">
        <v>165</v>
      </c>
      <c r="Q11" s="325"/>
      <c r="R11" s="325"/>
      <c r="S11" s="325"/>
    </row>
    <row r="12" spans="1:20" ht="15.95" customHeight="1" x14ac:dyDescent="0.25">
      <c r="A12" s="58"/>
      <c r="B12" s="51"/>
      <c r="C12" s="51"/>
      <c r="D12" s="51"/>
      <c r="E12" s="50"/>
      <c r="F12" s="50"/>
      <c r="G12" s="50"/>
      <c r="H12" s="50"/>
      <c r="I12" s="50"/>
      <c r="J12" s="50"/>
      <c r="K12" s="50"/>
      <c r="L12" s="50"/>
      <c r="M12" s="52"/>
      <c r="P12" s="151" t="s">
        <v>74</v>
      </c>
      <c r="Q12" s="152">
        <v>35</v>
      </c>
      <c r="R12" s="152"/>
      <c r="S12" s="111" t="s">
        <v>49</v>
      </c>
    </row>
    <row r="13" spans="1:20" ht="15.95" customHeight="1" x14ac:dyDescent="0.25">
      <c r="A13" s="58"/>
      <c r="B13" s="51"/>
      <c r="C13" s="51"/>
      <c r="D13" s="51"/>
      <c r="E13" s="50"/>
      <c r="F13" s="50"/>
      <c r="G13" s="50"/>
      <c r="H13" s="50"/>
      <c r="I13" s="50"/>
      <c r="J13" s="50"/>
      <c r="K13" s="50"/>
      <c r="L13" s="50"/>
      <c r="M13" s="52"/>
      <c r="P13" s="151" t="s">
        <v>72</v>
      </c>
      <c r="Q13" s="23">
        <v>0.1</v>
      </c>
      <c r="R13" s="23"/>
      <c r="S13" s="111" t="s">
        <v>51</v>
      </c>
    </row>
    <row r="14" spans="1:20" ht="15.95" customHeight="1" x14ac:dyDescent="0.25">
      <c r="A14" s="58"/>
      <c r="B14" s="51"/>
      <c r="C14" s="51"/>
      <c r="D14" s="51"/>
      <c r="E14" s="50"/>
      <c r="F14" s="50"/>
      <c r="G14" s="50"/>
      <c r="H14" s="50"/>
      <c r="I14" s="50"/>
      <c r="J14" s="50"/>
      <c r="K14" s="50"/>
      <c r="L14" s="50"/>
      <c r="M14" s="52"/>
      <c r="P14" s="151" t="s">
        <v>77</v>
      </c>
      <c r="Q14" s="23">
        <v>5</v>
      </c>
      <c r="R14" s="23"/>
      <c r="S14" s="111" t="s">
        <v>51</v>
      </c>
    </row>
    <row r="15" spans="1:20" ht="15.95" customHeight="1" x14ac:dyDescent="0.25">
      <c r="A15" s="58"/>
      <c r="B15" s="51"/>
      <c r="C15" s="51"/>
      <c r="D15" s="51"/>
      <c r="E15" s="50"/>
      <c r="F15" s="50"/>
      <c r="G15" s="59"/>
      <c r="H15" s="59"/>
      <c r="I15" s="59"/>
      <c r="J15" s="50"/>
      <c r="K15" s="50"/>
      <c r="L15" s="50"/>
      <c r="M15" s="52"/>
    </row>
    <row r="16" spans="1:20" ht="15.95" customHeight="1" x14ac:dyDescent="0.25">
      <c r="A16" s="58"/>
      <c r="B16" s="51"/>
      <c r="C16" s="51"/>
      <c r="D16" s="51"/>
      <c r="E16" s="50"/>
      <c r="F16" s="50"/>
      <c r="G16" s="50"/>
      <c r="H16" s="50"/>
      <c r="I16" s="50"/>
      <c r="J16" s="50"/>
      <c r="K16" s="50"/>
      <c r="L16" s="50"/>
      <c r="M16" s="52"/>
    </row>
    <row r="17" spans="1:13" ht="15.95" customHeight="1" x14ac:dyDescent="0.25">
      <c r="A17" s="58"/>
      <c r="B17" s="51"/>
      <c r="C17" s="51"/>
      <c r="D17" s="51"/>
      <c r="E17" s="60"/>
      <c r="F17" s="60"/>
      <c r="G17" s="60"/>
      <c r="H17" s="60"/>
      <c r="I17" s="60"/>
      <c r="J17" s="60"/>
      <c r="K17" s="60"/>
      <c r="L17" s="60"/>
      <c r="M17" s="61"/>
    </row>
    <row r="18" spans="1:13" ht="15.95" customHeight="1" x14ac:dyDescent="0.25">
      <c r="A18" s="45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7"/>
    </row>
    <row r="19" spans="1:13" ht="15.95" customHeight="1" x14ac:dyDescent="0.25">
      <c r="A19" s="45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7"/>
    </row>
    <row r="20" spans="1:13" ht="15.95" customHeight="1" x14ac:dyDescent="0.25">
      <c r="A20" s="58"/>
      <c r="B20" s="51"/>
      <c r="C20" s="51"/>
      <c r="D20" s="51"/>
      <c r="E20" s="50"/>
      <c r="F20" s="50"/>
      <c r="G20" s="50"/>
      <c r="H20" s="50"/>
      <c r="I20" s="50"/>
      <c r="J20" s="50"/>
      <c r="K20" s="50"/>
      <c r="L20" s="50"/>
      <c r="M20" s="52"/>
    </row>
    <row r="21" spans="1:13" ht="15.95" customHeight="1" x14ac:dyDescent="0.25">
      <c r="A21" s="58"/>
      <c r="B21" s="51"/>
      <c r="C21" s="51"/>
      <c r="D21" s="51"/>
      <c r="E21" s="50"/>
      <c r="F21" s="50"/>
      <c r="G21" s="50"/>
      <c r="H21" s="50"/>
      <c r="I21" s="50"/>
      <c r="J21" s="50"/>
      <c r="K21" s="50"/>
      <c r="L21" s="50"/>
      <c r="M21" s="52"/>
    </row>
    <row r="22" spans="1:13" ht="15.95" customHeight="1" x14ac:dyDescent="0.25">
      <c r="A22" s="58"/>
      <c r="B22" s="51"/>
      <c r="C22" s="51"/>
      <c r="D22" s="51"/>
      <c r="E22" s="50"/>
      <c r="F22" s="50"/>
      <c r="G22" s="50"/>
      <c r="H22" s="50"/>
      <c r="I22" s="50"/>
      <c r="J22" s="50"/>
      <c r="K22" s="50"/>
      <c r="L22" s="50"/>
      <c r="M22" s="52"/>
    </row>
    <row r="23" spans="1:13" ht="15.95" customHeight="1" x14ac:dyDescent="0.25">
      <c r="A23" s="58"/>
      <c r="B23" s="51"/>
      <c r="C23" s="51"/>
      <c r="D23" s="51"/>
      <c r="E23" s="50"/>
      <c r="F23" s="50"/>
      <c r="G23" s="50"/>
      <c r="H23" s="50"/>
      <c r="I23" s="50"/>
      <c r="J23" s="50"/>
      <c r="K23" s="50"/>
      <c r="L23" s="50"/>
      <c r="M23" s="52"/>
    </row>
    <row r="24" spans="1:13" ht="15.95" customHeight="1" x14ac:dyDescent="0.25">
      <c r="A24" s="58"/>
      <c r="B24" s="51"/>
      <c r="C24" s="51"/>
      <c r="D24" s="51"/>
      <c r="E24" s="62"/>
      <c r="F24" s="62"/>
      <c r="G24" s="62"/>
      <c r="H24" s="62"/>
      <c r="I24" s="62"/>
      <c r="J24" s="62"/>
      <c r="K24" s="62"/>
      <c r="L24" s="62"/>
      <c r="M24" s="63"/>
    </row>
    <row r="25" spans="1:13" ht="15.95" customHeight="1" x14ac:dyDescent="0.25">
      <c r="A25" s="58"/>
      <c r="B25" s="51"/>
      <c r="C25" s="51"/>
      <c r="D25" s="51"/>
      <c r="E25" s="50"/>
      <c r="F25" s="50"/>
      <c r="G25" s="50"/>
      <c r="H25" s="50"/>
      <c r="I25" s="50"/>
      <c r="J25" s="50"/>
      <c r="K25" s="50"/>
      <c r="L25" s="50"/>
      <c r="M25" s="52"/>
    </row>
    <row r="26" spans="1:13" ht="15.95" customHeight="1" x14ac:dyDescent="0.25">
      <c r="A26" s="45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7"/>
    </row>
    <row r="27" spans="1:13" ht="15.9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7"/>
    </row>
    <row r="28" spans="1:13" ht="15.95" customHeight="1" x14ac:dyDescent="0.25">
      <c r="A28" s="58"/>
      <c r="B28" s="51"/>
      <c r="C28" s="51"/>
      <c r="D28" s="51"/>
      <c r="E28" s="50"/>
      <c r="F28" s="50"/>
      <c r="G28" s="50"/>
      <c r="H28" s="50"/>
      <c r="I28" s="50"/>
      <c r="J28" s="50"/>
      <c r="K28" s="50"/>
      <c r="L28" s="50"/>
      <c r="M28" s="52"/>
    </row>
    <row r="29" spans="1:13" ht="15.95" customHeight="1" x14ac:dyDescent="0.25">
      <c r="A29" s="58"/>
      <c r="B29" s="51"/>
      <c r="C29" s="51"/>
      <c r="D29" s="51"/>
      <c r="E29" s="50"/>
      <c r="F29" s="50"/>
      <c r="G29" s="50"/>
      <c r="H29" s="50"/>
      <c r="I29" s="50"/>
      <c r="J29" s="50"/>
      <c r="K29" s="50"/>
      <c r="L29" s="50"/>
      <c r="M29" s="52"/>
    </row>
    <row r="30" spans="1:13" ht="15.95" customHeight="1" x14ac:dyDescent="0.25">
      <c r="A30" s="64"/>
      <c r="B30" s="65"/>
      <c r="C30" s="65"/>
      <c r="D30" s="65"/>
      <c r="E30" s="66"/>
      <c r="F30" s="66"/>
      <c r="G30" s="66"/>
      <c r="H30" s="66"/>
      <c r="I30" s="66"/>
      <c r="J30" s="66"/>
      <c r="K30" s="66"/>
      <c r="L30" s="66"/>
      <c r="M30" s="67"/>
    </row>
    <row r="31" spans="1:13" ht="15.95" customHeight="1" x14ac:dyDescent="0.25">
      <c r="A31" s="58"/>
      <c r="B31" s="51"/>
      <c r="C31" s="51"/>
      <c r="D31" s="51"/>
      <c r="E31" s="50"/>
      <c r="F31" s="50"/>
      <c r="G31" s="50"/>
      <c r="H31" s="50"/>
      <c r="I31" s="50"/>
      <c r="J31" s="50"/>
      <c r="K31" s="50"/>
      <c r="L31" s="50"/>
      <c r="M31" s="52"/>
    </row>
    <row r="32" spans="1:13" ht="15.95" customHeight="1" x14ac:dyDescent="0.25">
      <c r="A32" s="58"/>
      <c r="B32" s="51"/>
      <c r="C32" s="51"/>
      <c r="D32" s="51"/>
      <c r="E32" s="50"/>
      <c r="F32" s="50"/>
      <c r="G32" s="50"/>
      <c r="H32" s="50"/>
      <c r="I32" s="50"/>
      <c r="J32" s="50"/>
      <c r="K32" s="50"/>
      <c r="L32" s="50"/>
      <c r="M32" s="52"/>
    </row>
    <row r="33" spans="1:13" ht="15.95" customHeight="1" x14ac:dyDescent="0.25">
      <c r="A33" s="58"/>
      <c r="B33" s="51"/>
      <c r="C33" s="51"/>
      <c r="D33" s="51"/>
      <c r="E33" s="50"/>
      <c r="F33" s="50"/>
      <c r="G33" s="50"/>
      <c r="H33" s="50"/>
      <c r="I33" s="50"/>
      <c r="J33" s="50"/>
      <c r="K33" s="50"/>
      <c r="L33" s="50"/>
      <c r="M33" s="52"/>
    </row>
    <row r="34" spans="1:13" ht="15.95" customHeight="1" x14ac:dyDescent="0.25">
      <c r="A34" s="58"/>
      <c r="B34" s="51"/>
      <c r="C34" s="51"/>
      <c r="D34" s="51"/>
      <c r="E34" s="50"/>
      <c r="F34" s="50"/>
      <c r="G34" s="50"/>
      <c r="H34" s="50"/>
      <c r="I34" s="50"/>
      <c r="J34" s="50"/>
      <c r="K34" s="50"/>
      <c r="L34" s="50"/>
      <c r="M34" s="52"/>
    </row>
    <row r="35" spans="1:13" ht="15.95" customHeight="1" x14ac:dyDescent="0.25">
      <c r="A35" s="58"/>
      <c r="B35" s="51"/>
      <c r="C35" s="51"/>
      <c r="D35" s="51"/>
      <c r="E35" s="50"/>
      <c r="F35" s="50"/>
      <c r="G35" s="50"/>
      <c r="H35" s="50"/>
      <c r="I35" s="50"/>
      <c r="J35" s="50"/>
      <c r="K35" s="50"/>
      <c r="L35" s="50"/>
      <c r="M35" s="52"/>
    </row>
    <row r="36" spans="1:13" ht="15.95" customHeight="1" x14ac:dyDescent="0.25">
      <c r="A36" s="58"/>
      <c r="B36" s="51"/>
      <c r="C36" s="51"/>
      <c r="D36" s="51"/>
      <c r="E36" s="68"/>
      <c r="F36" s="68"/>
      <c r="G36" s="68"/>
      <c r="H36" s="68"/>
      <c r="I36" s="68"/>
      <c r="J36" s="68"/>
      <c r="K36" s="68"/>
      <c r="L36" s="68"/>
      <c r="M36" s="69"/>
    </row>
    <row r="37" spans="1:13" ht="15.95" customHeight="1" x14ac:dyDescent="0.25">
      <c r="A37" s="70"/>
      <c r="B37" s="71"/>
      <c r="C37" s="71"/>
      <c r="D37" s="71"/>
      <c r="E37" s="72"/>
      <c r="F37" s="73"/>
      <c r="G37" s="73"/>
      <c r="H37" s="73"/>
      <c r="I37" s="73"/>
      <c r="J37" s="73"/>
      <c r="K37" s="73"/>
      <c r="L37" s="73"/>
      <c r="M37" s="74"/>
    </row>
    <row r="38" spans="1:13" ht="15.95" customHeight="1" x14ac:dyDescent="0.25">
      <c r="A38" s="75"/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7"/>
    </row>
    <row r="39" spans="1:13" ht="15.95" customHeight="1" x14ac:dyDescent="0.25">
      <c r="A39" s="78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2"/>
    </row>
    <row r="40" spans="1:13" ht="15.95" customHeight="1" x14ac:dyDescent="0.25">
      <c r="A40" s="78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2"/>
    </row>
    <row r="41" spans="1:13" ht="23.1" customHeight="1" x14ac:dyDescent="0.25">
      <c r="A41" s="79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80"/>
    </row>
    <row r="42" spans="1:13" ht="15.95" customHeight="1" x14ac:dyDescent="0.25">
      <c r="A42" s="79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80"/>
    </row>
    <row r="43" spans="1:13" ht="15.95" customHeight="1" x14ac:dyDescent="0.25">
      <c r="A43" s="58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80"/>
    </row>
    <row r="44" spans="1:13" ht="15.95" customHeight="1" x14ac:dyDescent="0.25">
      <c r="A44" s="81" t="str">
        <f>IF(General!F33&lt;&gt;"",General!F33,"")</f>
        <v/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80"/>
    </row>
    <row r="45" spans="1:13" x14ac:dyDescent="0.25">
      <c r="A45" s="82" t="str">
        <f>General!B5</f>
        <v>Project nr.</v>
      </c>
      <c r="B45" s="83"/>
      <c r="C45" s="83"/>
      <c r="D45" s="83"/>
      <c r="E45" s="84"/>
      <c r="F45" s="84"/>
      <c r="G45" s="83"/>
      <c r="H45" s="83"/>
      <c r="I45" s="85" t="str">
        <f>IF(General!C6&lt;&gt;"",General!B6 &amp; ":  " &amp; General!C6,"") &amp; IF(General!C7&lt;&gt;"", "  " &amp; General!B7 &amp; ":  " &amp; General!C7,"") &amp; " "</f>
        <v xml:space="preserve"> </v>
      </c>
      <c r="J45" s="86" t="str">
        <f>General!B8</f>
        <v>Borehole</v>
      </c>
      <c r="K45" s="84"/>
      <c r="L45" s="84"/>
      <c r="M45" s="116" t="str">
        <f>Calculations!H9</f>
        <v/>
      </c>
    </row>
    <row r="46" spans="1:13" ht="18" x14ac:dyDescent="0.25">
      <c r="A46" s="346" t="str">
        <f>IF(General!C5&lt;&gt;"",General!C5,"")</f>
        <v>Project name</v>
      </c>
      <c r="B46" s="347"/>
      <c r="C46" s="347"/>
      <c r="D46" s="347"/>
      <c r="E46" s="347"/>
      <c r="F46" s="347"/>
      <c r="G46" s="347"/>
      <c r="H46" s="347"/>
      <c r="I46" s="347"/>
      <c r="J46" s="328" t="str">
        <f>IF(General!C8&lt;&gt;"",General!C8,"")</f>
        <v/>
      </c>
      <c r="K46" s="329"/>
      <c r="L46" s="329"/>
      <c r="M46" s="330"/>
    </row>
    <row r="47" spans="1:13" ht="15" customHeight="1" x14ac:dyDescent="0.25">
      <c r="A47" s="87" t="str">
        <f>General!B31</f>
        <v>Content</v>
      </c>
      <c r="B47" s="88"/>
      <c r="C47" s="88"/>
      <c r="D47" s="88"/>
      <c r="E47" s="88"/>
      <c r="F47" s="88"/>
      <c r="G47" s="88"/>
      <c r="H47" s="88"/>
      <c r="I47" s="88"/>
      <c r="J47" s="331"/>
      <c r="K47" s="332"/>
      <c r="L47" s="332"/>
      <c r="M47" s="333"/>
    </row>
    <row r="48" spans="1:13" ht="18" customHeight="1" x14ac:dyDescent="0.25">
      <c r="A48" s="348" t="str">
        <f>General!B33</f>
        <v>Sounding profile</v>
      </c>
      <c r="B48" s="349"/>
      <c r="C48" s="349"/>
      <c r="D48" s="349"/>
      <c r="E48" s="349"/>
      <c r="F48" s="349"/>
      <c r="G48" s="349"/>
      <c r="H48" s="349"/>
      <c r="I48" s="349"/>
      <c r="J48" s="86" t="str">
        <f>General!B19</f>
        <v>Field team leader</v>
      </c>
      <c r="K48" s="124"/>
      <c r="L48" s="124"/>
      <c r="M48" s="122"/>
    </row>
    <row r="49" spans="1:13" ht="15" customHeight="1" x14ac:dyDescent="0.25">
      <c r="A49" s="91"/>
      <c r="B49" s="88"/>
      <c r="C49" s="89" t="str">
        <f>General!B13</f>
        <v>Completed</v>
      </c>
      <c r="D49" s="92"/>
      <c r="E49" s="90" t="str">
        <f>General!B14</f>
        <v>Controlled</v>
      </c>
      <c r="F49" s="92"/>
      <c r="G49" s="90" t="str">
        <f>General!B15</f>
        <v>Approved</v>
      </c>
      <c r="H49" s="90"/>
      <c r="I49" s="92"/>
      <c r="J49" s="337" t="str">
        <f>General!C19</f>
        <v/>
      </c>
      <c r="K49" s="338"/>
      <c r="L49" s="338"/>
      <c r="M49" s="339"/>
    </row>
    <row r="50" spans="1:13" ht="15" customHeight="1" x14ac:dyDescent="0.25">
      <c r="A50" s="91"/>
      <c r="B50" s="88"/>
      <c r="C50" s="350" t="str">
        <f>IF(General!C13&lt;&gt;"",General!C13,"")</f>
        <v/>
      </c>
      <c r="D50" s="351"/>
      <c r="E50" s="352" t="str">
        <f>IF(General!C14&lt;&gt;"",General!C14,"")</f>
        <v/>
      </c>
      <c r="F50" s="353"/>
      <c r="G50" s="354" t="str">
        <f>IF(General!C15&lt;&gt;"",General!C15,"")</f>
        <v/>
      </c>
      <c r="H50" s="354"/>
      <c r="I50" s="351"/>
      <c r="J50" s="89" t="str">
        <f>General!C31</f>
        <v>Figure</v>
      </c>
      <c r="K50" s="121"/>
      <c r="L50" s="121"/>
      <c r="M50" s="120"/>
    </row>
    <row r="51" spans="1:13" ht="15" customHeight="1" x14ac:dyDescent="0.25">
      <c r="A51" s="91"/>
      <c r="B51" s="88"/>
      <c r="C51" s="86" t="str">
        <f>General!B4</f>
        <v>Company</v>
      </c>
      <c r="D51" s="93"/>
      <c r="E51" s="84" t="str">
        <f>General!B18</f>
        <v>Date sounding</v>
      </c>
      <c r="F51" s="93"/>
      <c r="G51" s="94" t="str">
        <f>General!D31</f>
        <v>Revision</v>
      </c>
      <c r="H51" s="326" t="str">
        <f>IF(General!D33&lt;&gt;"",General!D33,"")</f>
        <v/>
      </c>
      <c r="I51" s="327"/>
      <c r="J51" s="328">
        <f>IF(General!C33&lt;&gt;"",General!C33,"")</f>
        <v>2</v>
      </c>
      <c r="K51" s="329"/>
      <c r="L51" s="329"/>
      <c r="M51" s="330"/>
    </row>
    <row r="52" spans="1:13" ht="15.75" customHeight="1" thickBot="1" x14ac:dyDescent="0.3">
      <c r="A52" s="95"/>
      <c r="B52" s="96"/>
      <c r="C52" s="340" t="str">
        <f>IF(General!C4&lt;&gt;"",General!C4,"")</f>
        <v>NPRA</v>
      </c>
      <c r="D52" s="341"/>
      <c r="E52" s="342" t="str">
        <f>IF(General!C18&lt;&gt;"",General!C18,"")</f>
        <v/>
      </c>
      <c r="F52" s="343"/>
      <c r="G52" s="97" t="str">
        <f>General!E31</f>
        <v>Rev. Date</v>
      </c>
      <c r="H52" s="344" t="str">
        <f>IF(General!E33&lt;&gt;"",General!E33,"")</f>
        <v/>
      </c>
      <c r="I52" s="345"/>
      <c r="J52" s="334"/>
      <c r="K52" s="335"/>
      <c r="L52" s="335"/>
      <c r="M52" s="336"/>
    </row>
  </sheetData>
  <mergeCells count="14">
    <mergeCell ref="C50:D50"/>
    <mergeCell ref="E50:F50"/>
    <mergeCell ref="G50:I50"/>
    <mergeCell ref="H51:I51"/>
    <mergeCell ref="J51:M52"/>
    <mergeCell ref="C52:D52"/>
    <mergeCell ref="E52:F52"/>
    <mergeCell ref="H52:I52"/>
    <mergeCell ref="P2:S2"/>
    <mergeCell ref="A46:I46"/>
    <mergeCell ref="J46:M47"/>
    <mergeCell ref="A48:I48"/>
    <mergeCell ref="J49:M49"/>
    <mergeCell ref="P11:S11"/>
  </mergeCells>
  <printOptions horizontalCentered="1" verticalCentered="1"/>
  <pageMargins left="0.23622047244094491" right="0.23622047244094491" top="0.23622047244094491" bottom="0.23622047244094491" header="0" footer="0"/>
  <pageSetup paperSize="9" orientation="portrait" r:id="rId1"/>
  <headerFooter>
    <oddFooter>&amp;L&amp;"Lucida Sans Unicode,Normal Italic"&amp;7&amp;K01+046&amp;Z&amp;F&amp;R&amp;"Lucida Sans Unicode,Normal Italic"&amp;7&amp;K01+046TOTAL v.2024_02</oddFooter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5B264DF1-A845-41F3-A4AB-954E9F7D5B11}">
            <xm:f>$Q$4&lt;-General!$C$27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m:sqref>Q4 T4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D8C2B-6954-4858-BF31-9181F7E02F8E}">
  <sheetPr codeName="S_03_clf_1">
    <tabColor rgb="FF444F55"/>
  </sheetPr>
  <dimension ref="A1:X52"/>
  <sheetViews>
    <sheetView zoomScaleNormal="100" workbookViewId="0"/>
  </sheetViews>
  <sheetFormatPr defaultRowHeight="15" x14ac:dyDescent="0.25"/>
  <cols>
    <col min="1" max="7" width="9.85546875" customWidth="1"/>
    <col min="8" max="8" width="2.28515625" customWidth="1"/>
    <col min="9" max="9" width="8.85546875" customWidth="1"/>
    <col min="10" max="10" width="7" customWidth="1"/>
    <col min="11" max="11" width="1.85546875" customWidth="1"/>
    <col min="12" max="12" width="2.28515625" customWidth="1"/>
    <col min="13" max="13" width="7.42578125" customWidth="1"/>
    <col min="16" max="16" width="9.140625" customWidth="1"/>
    <col min="17" max="21" width="10.140625" customWidth="1"/>
  </cols>
  <sheetData>
    <row r="1" spans="1:24" ht="15.95" customHeight="1" x14ac:dyDescent="0.25">
      <c r="A1" s="42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4"/>
    </row>
    <row r="2" spans="1:24" ht="15.95" customHeight="1" x14ac:dyDescent="0.25">
      <c r="A2" s="45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7"/>
      <c r="T2" s="325" t="s">
        <v>253</v>
      </c>
      <c r="U2" s="325"/>
      <c r="V2" s="325"/>
      <c r="W2" s="325"/>
      <c r="X2" s="325"/>
    </row>
    <row r="3" spans="1:24" ht="15.95" customHeight="1" x14ac:dyDescent="0.25">
      <c r="A3" s="48"/>
      <c r="B3" s="49"/>
      <c r="C3" s="49"/>
      <c r="D3" s="50"/>
      <c r="E3" s="50"/>
      <c r="F3" s="51"/>
      <c r="G3" s="51"/>
      <c r="H3" s="51"/>
      <c r="I3" s="51"/>
      <c r="J3" s="50"/>
      <c r="K3" s="50"/>
      <c r="L3" s="50"/>
      <c r="M3" s="52"/>
      <c r="T3" s="265" t="s">
        <v>254</v>
      </c>
      <c r="U3" s="265"/>
      <c r="V3" s="265"/>
      <c r="W3" s="265"/>
      <c r="X3" s="245" t="str">
        <f>General!C25</f>
        <v>Yes</v>
      </c>
    </row>
    <row r="4" spans="1:24" ht="15.95" customHeight="1" x14ac:dyDescent="0.25">
      <c r="A4" s="48"/>
      <c r="B4" s="49"/>
      <c r="C4" s="49"/>
      <c r="D4" s="50"/>
      <c r="E4" s="50"/>
      <c r="F4" s="51"/>
      <c r="G4" s="51"/>
      <c r="H4" s="51"/>
      <c r="I4" s="51"/>
      <c r="J4" s="50"/>
      <c r="K4" s="50"/>
      <c r="L4" s="50"/>
      <c r="M4" s="52"/>
    </row>
    <row r="5" spans="1:24" ht="15.95" customHeight="1" x14ac:dyDescent="0.25">
      <c r="A5" s="48"/>
      <c r="B5" s="49"/>
      <c r="C5" s="49"/>
      <c r="D5" s="53"/>
      <c r="E5" s="53"/>
      <c r="F5" s="51"/>
      <c r="G5" s="51"/>
      <c r="H5" s="51"/>
      <c r="I5" s="51"/>
      <c r="J5" s="54"/>
      <c r="K5" s="54"/>
      <c r="L5" s="54"/>
      <c r="M5" s="55"/>
    </row>
    <row r="6" spans="1:24" ht="15.95" customHeight="1" x14ac:dyDescent="0.25">
      <c r="A6" s="48"/>
      <c r="B6" s="49"/>
      <c r="C6" s="49"/>
      <c r="D6" s="53"/>
      <c r="E6" s="53"/>
      <c r="F6" s="51"/>
      <c r="G6" s="51"/>
      <c r="H6" s="51"/>
      <c r="I6" s="51"/>
      <c r="J6" s="56"/>
      <c r="K6" s="50"/>
      <c r="L6" s="50"/>
      <c r="M6" s="52"/>
      <c r="O6" s="265"/>
      <c r="P6" s="123"/>
      <c r="Q6" s="265"/>
      <c r="R6" s="265"/>
    </row>
    <row r="7" spans="1:24" ht="15.95" customHeight="1" x14ac:dyDescent="0.25">
      <c r="A7" s="45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7"/>
      <c r="O7" s="265"/>
      <c r="P7" s="123"/>
      <c r="Q7" s="265"/>
      <c r="R7" s="265"/>
      <c r="S7" s="265"/>
    </row>
    <row r="8" spans="1:24" ht="15.95" customHeight="1" x14ac:dyDescent="0.25">
      <c r="A8" s="45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7"/>
      <c r="O8" s="265"/>
      <c r="P8" s="123"/>
      <c r="Q8" s="265"/>
      <c r="R8" s="265"/>
    </row>
    <row r="9" spans="1:24" ht="15.95" customHeight="1" x14ac:dyDescent="0.25">
      <c r="A9" s="57"/>
      <c r="E9" s="50"/>
      <c r="F9" s="50"/>
      <c r="G9" s="50"/>
      <c r="H9" s="50"/>
      <c r="I9" s="50"/>
      <c r="J9" s="50"/>
      <c r="K9" s="50"/>
      <c r="L9" s="50"/>
      <c r="M9" s="52"/>
      <c r="O9" s="265"/>
      <c r="P9" s="123"/>
      <c r="Q9" s="265"/>
      <c r="R9" s="265"/>
      <c r="S9" s="123"/>
    </row>
    <row r="10" spans="1:24" ht="15.95" customHeight="1" x14ac:dyDescent="0.25">
      <c r="A10" s="58"/>
      <c r="B10" s="51"/>
      <c r="C10" s="51"/>
      <c r="D10" s="51"/>
      <c r="E10" s="50"/>
      <c r="F10" s="50"/>
      <c r="G10" s="50"/>
      <c r="H10" s="50"/>
      <c r="I10" s="50"/>
      <c r="J10" s="50"/>
      <c r="K10" s="50"/>
      <c r="L10" s="50"/>
      <c r="M10" s="52"/>
      <c r="P10" s="123"/>
      <c r="S10" s="123"/>
    </row>
    <row r="11" spans="1:24" ht="15.95" customHeight="1" x14ac:dyDescent="0.25">
      <c r="A11" s="58"/>
      <c r="B11" s="51"/>
      <c r="C11" s="51"/>
      <c r="D11" s="51"/>
      <c r="E11" s="50"/>
      <c r="F11" s="50"/>
      <c r="G11" s="50"/>
      <c r="H11" s="50"/>
      <c r="I11" s="50"/>
      <c r="J11" s="50"/>
      <c r="K11" s="50"/>
      <c r="L11" s="50"/>
      <c r="M11" s="52"/>
      <c r="P11" s="123"/>
      <c r="Q11" s="123"/>
      <c r="R11" s="123"/>
      <c r="S11" s="123"/>
      <c r="T11" s="325" t="s">
        <v>245</v>
      </c>
      <c r="U11" s="325"/>
      <c r="V11" s="325"/>
      <c r="W11" s="325"/>
      <c r="X11" s="325"/>
    </row>
    <row r="12" spans="1:24" ht="15.95" customHeight="1" x14ac:dyDescent="0.35">
      <c r="A12" s="58"/>
      <c r="B12" s="51"/>
      <c r="C12" s="51"/>
      <c r="D12" s="51"/>
      <c r="E12" s="50"/>
      <c r="F12" s="50"/>
      <c r="G12" s="50"/>
      <c r="H12" s="50"/>
      <c r="I12" s="50"/>
      <c r="J12" s="50"/>
      <c r="K12" s="50"/>
      <c r="L12" s="50"/>
      <c r="M12" s="52"/>
      <c r="T12" s="355" t="s">
        <v>259</v>
      </c>
      <c r="U12" s="355"/>
      <c r="V12" s="355"/>
      <c r="W12" s="355"/>
      <c r="X12" s="355"/>
    </row>
    <row r="13" spans="1:24" ht="15.95" customHeight="1" x14ac:dyDescent="0.25">
      <c r="A13" s="58"/>
      <c r="B13" s="51"/>
      <c r="C13" s="51"/>
      <c r="D13" s="51"/>
      <c r="E13" s="50"/>
      <c r="F13" s="50"/>
      <c r="G13" s="50"/>
      <c r="H13" s="50"/>
      <c r="I13" s="50"/>
      <c r="J13" s="50"/>
      <c r="K13" s="50"/>
      <c r="L13" s="50"/>
      <c r="M13" s="52"/>
      <c r="T13" s="241" t="s">
        <v>200</v>
      </c>
      <c r="U13" s="242">
        <v>8.8999999999999999E-3</v>
      </c>
      <c r="W13" s="241" t="s">
        <v>203</v>
      </c>
      <c r="X13" s="244">
        <v>-0.61434999999999995</v>
      </c>
    </row>
    <row r="14" spans="1:24" ht="15.95" customHeight="1" x14ac:dyDescent="0.25">
      <c r="A14" s="58"/>
      <c r="B14" s="51"/>
      <c r="C14" s="51"/>
      <c r="D14" s="51"/>
      <c r="E14" s="50"/>
      <c r="F14" s="50"/>
      <c r="G14" s="50"/>
      <c r="H14" s="50"/>
      <c r="I14" s="50"/>
      <c r="J14" s="50"/>
      <c r="K14" s="50"/>
      <c r="L14" s="50"/>
      <c r="M14" s="52"/>
      <c r="T14" s="241" t="s">
        <v>201</v>
      </c>
      <c r="U14" s="243">
        <v>40</v>
      </c>
      <c r="W14" s="241" t="s">
        <v>204</v>
      </c>
      <c r="X14" s="243">
        <v>2</v>
      </c>
    </row>
    <row r="15" spans="1:24" ht="15.95" customHeight="1" x14ac:dyDescent="0.25">
      <c r="A15" s="58"/>
      <c r="B15" s="51"/>
      <c r="C15" s="51"/>
      <c r="D15" s="51"/>
      <c r="E15" s="50"/>
      <c r="F15" s="50"/>
      <c r="G15" s="59"/>
      <c r="H15" s="59"/>
      <c r="I15" s="59"/>
      <c r="J15" s="50"/>
      <c r="K15" s="50"/>
      <c r="L15" s="50"/>
      <c r="M15" s="52"/>
      <c r="T15" s="241" t="s">
        <v>202</v>
      </c>
      <c r="U15" s="242">
        <v>5.9999999999999995E-4</v>
      </c>
      <c r="V15" s="123"/>
    </row>
    <row r="16" spans="1:24" ht="15.95" customHeight="1" x14ac:dyDescent="0.25">
      <c r="A16" s="58"/>
      <c r="B16" s="51"/>
      <c r="C16" s="51"/>
      <c r="D16" s="51"/>
      <c r="E16" s="50"/>
      <c r="F16" s="50"/>
      <c r="G16" s="50"/>
      <c r="H16" s="50"/>
      <c r="I16" s="50"/>
      <c r="J16" s="50"/>
      <c r="K16" s="50"/>
      <c r="L16" s="50"/>
      <c r="M16" s="52"/>
    </row>
    <row r="17" spans="1:22" ht="15.95" customHeight="1" x14ac:dyDescent="0.25">
      <c r="A17" s="58"/>
      <c r="B17" s="51"/>
      <c r="C17" s="51"/>
      <c r="D17" s="51"/>
      <c r="E17" s="60"/>
      <c r="F17" s="60"/>
      <c r="G17" s="60"/>
      <c r="H17" s="60"/>
      <c r="I17" s="60"/>
      <c r="J17" s="60"/>
      <c r="K17" s="60"/>
      <c r="L17" s="60"/>
      <c r="M17" s="61"/>
      <c r="T17" s="20" t="s">
        <v>238</v>
      </c>
      <c r="V17" s="240">
        <v>50</v>
      </c>
    </row>
    <row r="18" spans="1:22" ht="15.95" customHeight="1" x14ac:dyDescent="0.25">
      <c r="A18" s="45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7"/>
    </row>
    <row r="19" spans="1:22" ht="15.95" customHeight="1" x14ac:dyDescent="0.25">
      <c r="A19" s="45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7"/>
    </row>
    <row r="20" spans="1:22" ht="15.95" customHeight="1" x14ac:dyDescent="0.25">
      <c r="A20" s="58"/>
      <c r="B20" s="51"/>
      <c r="C20" s="51"/>
      <c r="D20" s="51"/>
      <c r="E20" s="50"/>
      <c r="F20" s="50"/>
      <c r="G20" s="50"/>
      <c r="H20" s="50"/>
      <c r="I20" s="50"/>
      <c r="J20" s="50"/>
      <c r="K20" s="50"/>
      <c r="L20" s="50"/>
      <c r="M20" s="52"/>
    </row>
    <row r="21" spans="1:22" ht="15.95" customHeight="1" x14ac:dyDescent="0.25">
      <c r="A21" s="58"/>
      <c r="B21" s="51"/>
      <c r="C21" s="51"/>
      <c r="D21" s="51"/>
      <c r="E21" s="50"/>
      <c r="F21" s="50"/>
      <c r="G21" s="50"/>
      <c r="H21" s="50"/>
      <c r="I21" s="50"/>
      <c r="J21" s="50"/>
      <c r="K21" s="50"/>
      <c r="L21" s="50"/>
      <c r="M21" s="52"/>
    </row>
    <row r="22" spans="1:22" ht="15.95" customHeight="1" x14ac:dyDescent="0.25">
      <c r="A22" s="58"/>
      <c r="B22" s="51"/>
      <c r="C22" s="51"/>
      <c r="D22" s="51"/>
      <c r="E22" s="50"/>
      <c r="F22" s="50"/>
      <c r="G22" s="50"/>
      <c r="H22" s="50"/>
      <c r="I22" s="50"/>
      <c r="J22" s="50"/>
      <c r="K22" s="50"/>
      <c r="L22" s="50"/>
      <c r="M22" s="52"/>
    </row>
    <row r="23" spans="1:22" ht="15.95" customHeight="1" x14ac:dyDescent="0.25">
      <c r="A23" s="58"/>
      <c r="B23" s="51"/>
      <c r="C23" s="51"/>
      <c r="D23" s="51"/>
      <c r="E23" s="50"/>
      <c r="F23" s="50"/>
      <c r="G23" s="50"/>
      <c r="H23" s="50"/>
      <c r="I23" s="50"/>
      <c r="J23" s="50"/>
      <c r="K23" s="50"/>
      <c r="L23" s="50"/>
      <c r="M23" s="52"/>
    </row>
    <row r="24" spans="1:22" ht="15.95" customHeight="1" x14ac:dyDescent="0.25">
      <c r="A24" s="58"/>
      <c r="B24" s="51"/>
      <c r="C24" s="51"/>
      <c r="D24" s="51"/>
      <c r="E24" s="62"/>
      <c r="F24" s="62"/>
      <c r="G24" s="62"/>
      <c r="H24" s="62"/>
      <c r="I24" s="62"/>
      <c r="J24" s="62"/>
      <c r="K24" s="62"/>
      <c r="L24" s="62"/>
      <c r="M24" s="63"/>
    </row>
    <row r="25" spans="1:22" ht="15.95" customHeight="1" x14ac:dyDescent="0.25">
      <c r="A25" s="58"/>
      <c r="B25" s="51"/>
      <c r="C25" s="51"/>
      <c r="D25" s="51"/>
      <c r="E25" s="50"/>
      <c r="F25" s="50"/>
      <c r="G25" s="50"/>
      <c r="H25" s="50"/>
      <c r="I25" s="50"/>
      <c r="J25" s="50"/>
      <c r="K25" s="50"/>
      <c r="L25" s="50"/>
      <c r="M25" s="52"/>
    </row>
    <row r="26" spans="1:22" ht="15.95" customHeight="1" x14ac:dyDescent="0.25">
      <c r="A26" s="45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7"/>
    </row>
    <row r="27" spans="1:22" ht="15.9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7"/>
    </row>
    <row r="28" spans="1:22" ht="15.95" customHeight="1" x14ac:dyDescent="0.25">
      <c r="A28" s="58"/>
      <c r="B28" s="51"/>
      <c r="C28" s="51"/>
      <c r="D28" s="51"/>
      <c r="E28" s="50"/>
      <c r="F28" s="50"/>
      <c r="G28" s="50"/>
      <c r="H28" s="50"/>
      <c r="I28" s="50"/>
      <c r="J28" s="50"/>
      <c r="K28" s="50"/>
      <c r="L28" s="50"/>
      <c r="M28" s="52"/>
    </row>
    <row r="29" spans="1:22" ht="15.95" customHeight="1" x14ac:dyDescent="0.25">
      <c r="A29" s="58"/>
      <c r="B29" s="51"/>
      <c r="C29" s="51"/>
      <c r="D29" s="51"/>
      <c r="E29" s="50"/>
      <c r="F29" s="50"/>
      <c r="G29" s="50"/>
      <c r="H29" s="50"/>
      <c r="I29" s="50"/>
      <c r="J29" s="50"/>
      <c r="K29" s="50"/>
      <c r="L29" s="50"/>
      <c r="M29" s="52"/>
    </row>
    <row r="30" spans="1:22" ht="15.95" customHeight="1" x14ac:dyDescent="0.25">
      <c r="A30" s="64"/>
      <c r="B30" s="65"/>
      <c r="C30" s="65"/>
      <c r="D30" s="65"/>
      <c r="E30" s="66"/>
      <c r="F30" s="66"/>
      <c r="G30" s="66"/>
      <c r="H30" s="66"/>
      <c r="I30" s="66"/>
      <c r="J30" s="66"/>
      <c r="K30" s="66"/>
      <c r="L30" s="66"/>
      <c r="M30" s="67"/>
    </row>
    <row r="31" spans="1:22" ht="15.95" customHeight="1" x14ac:dyDescent="0.25">
      <c r="A31" s="58"/>
      <c r="B31" s="51"/>
      <c r="C31" s="51"/>
      <c r="D31" s="51"/>
      <c r="E31" s="50"/>
      <c r="F31" s="50"/>
      <c r="G31" s="50"/>
      <c r="H31" s="50"/>
      <c r="I31" s="50"/>
      <c r="J31" s="50"/>
      <c r="K31" s="50"/>
      <c r="L31" s="50"/>
      <c r="M31" s="52"/>
    </row>
    <row r="32" spans="1:22" ht="15.95" customHeight="1" x14ac:dyDescent="0.25">
      <c r="A32" s="58"/>
      <c r="B32" s="51"/>
      <c r="C32" s="51"/>
      <c r="D32" s="51"/>
      <c r="E32" s="50"/>
      <c r="F32" s="50"/>
      <c r="G32" s="50"/>
      <c r="H32" s="50"/>
      <c r="I32" s="50"/>
      <c r="J32" s="50"/>
      <c r="K32" s="50"/>
      <c r="L32" s="50"/>
      <c r="M32" s="52"/>
    </row>
    <row r="33" spans="1:13" ht="15.95" customHeight="1" x14ac:dyDescent="0.25">
      <c r="A33" s="58"/>
      <c r="B33" s="51"/>
      <c r="C33" s="51"/>
      <c r="D33" s="51"/>
      <c r="E33" s="50"/>
      <c r="F33" s="50"/>
      <c r="G33" s="50"/>
      <c r="H33" s="50"/>
      <c r="I33" s="50"/>
      <c r="J33" s="50"/>
      <c r="K33" s="50"/>
      <c r="L33" s="50"/>
      <c r="M33" s="52"/>
    </row>
    <row r="34" spans="1:13" ht="15.95" customHeight="1" x14ac:dyDescent="0.25">
      <c r="A34" s="58"/>
      <c r="B34" s="51"/>
      <c r="C34" s="51"/>
      <c r="D34" s="51"/>
      <c r="E34" s="50"/>
      <c r="F34" s="50"/>
      <c r="G34" s="50"/>
      <c r="H34" s="50"/>
      <c r="I34" s="50"/>
      <c r="J34" s="50"/>
      <c r="K34" s="50"/>
      <c r="L34" s="50"/>
      <c r="M34" s="52"/>
    </row>
    <row r="35" spans="1:13" ht="15.95" customHeight="1" x14ac:dyDescent="0.25">
      <c r="A35" s="58"/>
      <c r="B35" s="51"/>
      <c r="C35" s="51"/>
      <c r="D35" s="51"/>
      <c r="E35" s="50"/>
      <c r="F35" s="50"/>
      <c r="G35" s="50"/>
      <c r="H35" s="50"/>
      <c r="I35" s="50"/>
      <c r="J35" s="50"/>
      <c r="K35" s="50"/>
      <c r="L35" s="50"/>
      <c r="M35" s="52"/>
    </row>
    <row r="36" spans="1:13" ht="15.95" customHeight="1" x14ac:dyDescent="0.25">
      <c r="A36" s="58"/>
      <c r="B36" s="51"/>
      <c r="C36" s="51"/>
      <c r="D36" s="51"/>
      <c r="E36" s="68"/>
      <c r="F36" s="68"/>
      <c r="G36" s="68"/>
      <c r="H36" s="68"/>
      <c r="I36" s="68"/>
      <c r="J36" s="68"/>
      <c r="K36" s="68"/>
      <c r="L36" s="68"/>
      <c r="M36" s="69"/>
    </row>
    <row r="37" spans="1:13" ht="15.95" customHeight="1" x14ac:dyDescent="0.25">
      <c r="A37" s="70"/>
      <c r="B37" s="71"/>
      <c r="C37" s="71"/>
      <c r="D37" s="71"/>
      <c r="E37" s="72"/>
      <c r="F37" s="73"/>
      <c r="G37" s="73"/>
      <c r="H37" s="73"/>
      <c r="I37" s="73"/>
      <c r="J37" s="73"/>
      <c r="K37" s="73"/>
      <c r="L37" s="73"/>
      <c r="M37" s="74"/>
    </row>
    <row r="38" spans="1:13" ht="15.95" customHeight="1" x14ac:dyDescent="0.25">
      <c r="A38" s="75"/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7"/>
    </row>
    <row r="39" spans="1:13" ht="15.95" customHeight="1" x14ac:dyDescent="0.25">
      <c r="A39" s="78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2"/>
    </row>
    <row r="40" spans="1:13" ht="15.95" customHeight="1" x14ac:dyDescent="0.25">
      <c r="A40" s="78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2"/>
    </row>
    <row r="41" spans="1:13" ht="23.1" customHeight="1" x14ac:dyDescent="0.25">
      <c r="A41" s="79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80"/>
    </row>
    <row r="42" spans="1:13" ht="15.95" customHeight="1" x14ac:dyDescent="0.25">
      <c r="A42" s="79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80"/>
    </row>
    <row r="43" spans="1:13" ht="15.95" customHeight="1" x14ac:dyDescent="0.25">
      <c r="A43" s="58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80"/>
    </row>
    <row r="44" spans="1:13" ht="15.95" customHeight="1" x14ac:dyDescent="0.25">
      <c r="A44" s="81" t="str">
        <f>IF(General!F34&lt;&gt;"",General!F34,"")</f>
        <v/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80"/>
    </row>
    <row r="45" spans="1:13" x14ac:dyDescent="0.25">
      <c r="A45" s="82" t="str">
        <f>General!B5</f>
        <v>Project nr.</v>
      </c>
      <c r="B45" s="83"/>
      <c r="C45" s="83"/>
      <c r="D45" s="83"/>
      <c r="E45" s="84"/>
      <c r="F45" s="84"/>
      <c r="G45" s="83"/>
      <c r="H45" s="83"/>
      <c r="I45" s="85" t="str">
        <f>IF(General!C6&lt;&gt;"",General!B6 &amp; ":  " &amp; General!C6,"") &amp; IF(General!C7&lt;&gt;"", "  " &amp; General!B7 &amp; ":  " &amp; General!C7,"") &amp; " "</f>
        <v xml:space="preserve"> </v>
      </c>
      <c r="J45" s="86" t="str">
        <f>General!B8</f>
        <v>Borehole</v>
      </c>
      <c r="K45" s="84"/>
      <c r="L45" s="84"/>
      <c r="M45" s="116" t="str">
        <f>Calculations!H9</f>
        <v/>
      </c>
    </row>
    <row r="46" spans="1:13" ht="18" x14ac:dyDescent="0.25">
      <c r="A46" s="346" t="str">
        <f>IF(General!C5&lt;&gt;"",General!C5,"")</f>
        <v>Project name</v>
      </c>
      <c r="B46" s="347"/>
      <c r="C46" s="347"/>
      <c r="D46" s="347"/>
      <c r="E46" s="347"/>
      <c r="F46" s="347"/>
      <c r="G46" s="347"/>
      <c r="H46" s="347"/>
      <c r="I46" s="347"/>
      <c r="J46" s="328" t="str">
        <f>IF(General!C8&lt;&gt;"",General!C8,"")</f>
        <v/>
      </c>
      <c r="K46" s="329"/>
      <c r="L46" s="329"/>
      <c r="M46" s="330"/>
    </row>
    <row r="47" spans="1:13" ht="15" customHeight="1" x14ac:dyDescent="0.25">
      <c r="A47" s="87" t="str">
        <f>General!B31</f>
        <v>Content</v>
      </c>
      <c r="B47" s="88"/>
      <c r="C47" s="88"/>
      <c r="D47" s="88"/>
      <c r="E47" s="88"/>
      <c r="F47" s="88"/>
      <c r="G47" s="88"/>
      <c r="H47" s="88"/>
      <c r="I47" s="88"/>
      <c r="J47" s="331"/>
      <c r="K47" s="332"/>
      <c r="L47" s="332"/>
      <c r="M47" s="333"/>
    </row>
    <row r="48" spans="1:13" ht="18" customHeight="1" x14ac:dyDescent="0.25">
      <c r="A48" s="348" t="str">
        <f>General!B34</f>
        <v>Classification Valsson et al. 2024</v>
      </c>
      <c r="B48" s="349"/>
      <c r="C48" s="349"/>
      <c r="D48" s="349"/>
      <c r="E48" s="349"/>
      <c r="F48" s="349"/>
      <c r="G48" s="349"/>
      <c r="H48" s="349"/>
      <c r="I48" s="349"/>
      <c r="J48" s="86" t="str">
        <f>General!B19</f>
        <v>Field team leader</v>
      </c>
      <c r="K48" s="124"/>
      <c r="L48" s="124"/>
      <c r="M48" s="122"/>
    </row>
    <row r="49" spans="1:13" ht="15" customHeight="1" x14ac:dyDescent="0.25">
      <c r="A49" s="91"/>
      <c r="B49" s="88"/>
      <c r="C49" s="89" t="str">
        <f>General!B13</f>
        <v>Completed</v>
      </c>
      <c r="D49" s="92"/>
      <c r="E49" s="90" t="str">
        <f>General!B14</f>
        <v>Controlled</v>
      </c>
      <c r="F49" s="92"/>
      <c r="G49" s="90" t="str">
        <f>General!B15</f>
        <v>Approved</v>
      </c>
      <c r="H49" s="90"/>
      <c r="I49" s="92"/>
      <c r="J49" s="337" t="str">
        <f>General!C19</f>
        <v/>
      </c>
      <c r="K49" s="338"/>
      <c r="L49" s="338"/>
      <c r="M49" s="339"/>
    </row>
    <row r="50" spans="1:13" ht="15" customHeight="1" x14ac:dyDescent="0.25">
      <c r="A50" s="91"/>
      <c r="B50" s="88"/>
      <c r="C50" s="350" t="str">
        <f>IF(General!C13&lt;&gt;"",General!C13,"")</f>
        <v/>
      </c>
      <c r="D50" s="351"/>
      <c r="E50" s="352" t="str">
        <f>IF(General!C14&lt;&gt;"",General!C14,"")</f>
        <v/>
      </c>
      <c r="F50" s="353"/>
      <c r="G50" s="354" t="str">
        <f>IF(General!C15&lt;&gt;"",General!C15,"")</f>
        <v/>
      </c>
      <c r="H50" s="354"/>
      <c r="I50" s="351"/>
      <c r="J50" s="89" t="str">
        <f>General!C31</f>
        <v>Figure</v>
      </c>
      <c r="K50" s="121"/>
      <c r="L50" s="121"/>
      <c r="M50" s="120"/>
    </row>
    <row r="51" spans="1:13" ht="15" customHeight="1" x14ac:dyDescent="0.25">
      <c r="A51" s="91"/>
      <c r="B51" s="88"/>
      <c r="C51" s="86" t="str">
        <f>General!B4</f>
        <v>Company</v>
      </c>
      <c r="D51" s="93"/>
      <c r="E51" s="84" t="str">
        <f>General!B18</f>
        <v>Date sounding</v>
      </c>
      <c r="F51" s="93"/>
      <c r="G51" s="94" t="str">
        <f>General!D31</f>
        <v>Revision</v>
      </c>
      <c r="H51" s="326" t="str">
        <f>IF(General!D34&lt;&gt;"",General!D34,"")</f>
        <v/>
      </c>
      <c r="I51" s="327"/>
      <c r="J51" s="328">
        <f>IF(General!C34&lt;&gt;"",General!C34,"")</f>
        <v>3</v>
      </c>
      <c r="K51" s="329"/>
      <c r="L51" s="329"/>
      <c r="M51" s="330"/>
    </row>
    <row r="52" spans="1:13" ht="15.75" customHeight="1" thickBot="1" x14ac:dyDescent="0.3">
      <c r="A52" s="95"/>
      <c r="B52" s="96"/>
      <c r="C52" s="340" t="str">
        <f>IF(General!C4&lt;&gt;"",General!C4,"")</f>
        <v>NPRA</v>
      </c>
      <c r="D52" s="341"/>
      <c r="E52" s="342" t="str">
        <f>IF(General!C18&lt;&gt;"",General!C18,"")</f>
        <v/>
      </c>
      <c r="F52" s="343"/>
      <c r="G52" s="97" t="str">
        <f>General!E31</f>
        <v>Rev. Date</v>
      </c>
      <c r="H52" s="344" t="str">
        <f>IF(General!E34&lt;&gt;"",General!E34,"")</f>
        <v/>
      </c>
      <c r="I52" s="345"/>
      <c r="J52" s="334"/>
      <c r="K52" s="335"/>
      <c r="L52" s="335"/>
      <c r="M52" s="336"/>
    </row>
  </sheetData>
  <mergeCells count="15">
    <mergeCell ref="T2:X2"/>
    <mergeCell ref="C50:D50"/>
    <mergeCell ref="E50:F50"/>
    <mergeCell ref="G50:I50"/>
    <mergeCell ref="H51:I51"/>
    <mergeCell ref="J51:M52"/>
    <mergeCell ref="C52:D52"/>
    <mergeCell ref="E52:F52"/>
    <mergeCell ref="H52:I52"/>
    <mergeCell ref="T11:X11"/>
    <mergeCell ref="J49:M49"/>
    <mergeCell ref="A46:I46"/>
    <mergeCell ref="J46:M47"/>
    <mergeCell ref="A48:I48"/>
    <mergeCell ref="T12:X12"/>
  </mergeCells>
  <dataValidations disablePrompts="1" count="1">
    <dataValidation type="list" allowBlank="1" showInputMessage="1" showErrorMessage="1" sqref="X3" xr:uid="{C58D08FF-C0E5-48CE-A3CB-2178DAC2D31F}">
      <formula1>"Yes,No"</formula1>
    </dataValidation>
  </dataValidations>
  <printOptions horizontalCentered="1" verticalCentered="1"/>
  <pageMargins left="0.23622047244094491" right="0.23622047244094491" top="0.23622047244094491" bottom="0.23622047244094491" header="0" footer="0"/>
  <pageSetup paperSize="9" orientation="portrait" r:id="rId1"/>
  <headerFooter>
    <oddFooter>&amp;L&amp;"Lucida Sans Unicode,Normal Italic"&amp;7&amp;K01+046&amp;Z&amp;F&amp;R&amp;"Lucida Sans Unicode,Normal Italic"&amp;7&amp;K01+046TOTAL v.2024_02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read_file_btn">
              <controlPr defaultSize="0" print="0" autoFill="0" autoPict="0" macro="[0]!classify_PNP_2D">
                <anchor moveWithCells="1" sizeWithCells="1">
                  <from>
                    <xdr:col>13</xdr:col>
                    <xdr:colOff>85725</xdr:colOff>
                    <xdr:row>1</xdr:row>
                    <xdr:rowOff>9525</xdr:rowOff>
                  </from>
                  <to>
                    <xdr:col>15</xdr:col>
                    <xdr:colOff>542925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6955C-A779-4B72-9669-3F2822E59E54}">
  <sheetPr codeName="S_03_clf_2">
    <tabColor rgb="FF444F55"/>
  </sheetPr>
  <dimension ref="A1:X52"/>
  <sheetViews>
    <sheetView zoomScaleNormal="100" workbookViewId="0"/>
  </sheetViews>
  <sheetFormatPr defaultRowHeight="15" x14ac:dyDescent="0.25"/>
  <cols>
    <col min="1" max="7" width="9.85546875" style="265" customWidth="1"/>
    <col min="8" max="8" width="2.28515625" style="265" customWidth="1"/>
    <col min="9" max="9" width="8.85546875" style="265" customWidth="1"/>
    <col min="10" max="10" width="7" style="265" customWidth="1"/>
    <col min="11" max="11" width="1.85546875" style="265" customWidth="1"/>
    <col min="12" max="12" width="2.28515625" style="265" customWidth="1"/>
    <col min="13" max="13" width="7.42578125" style="265" customWidth="1"/>
    <col min="14" max="15" width="9.140625" style="265"/>
    <col min="16" max="16" width="9.140625" style="265" customWidth="1"/>
    <col min="17" max="19" width="10.140625" style="265" customWidth="1"/>
    <col min="20" max="20" width="13.28515625" style="265" customWidth="1"/>
    <col min="21" max="21" width="10.140625" style="265" customWidth="1"/>
    <col min="22" max="16384" width="9.140625" style="265"/>
  </cols>
  <sheetData>
    <row r="1" spans="1:24" ht="15.95" customHeight="1" x14ac:dyDescent="0.25">
      <c r="A1" s="42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4"/>
    </row>
    <row r="2" spans="1:24" ht="15.95" customHeight="1" x14ac:dyDescent="0.25">
      <c r="A2" s="45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7"/>
      <c r="T2" s="325" t="s">
        <v>270</v>
      </c>
      <c r="U2" s="325"/>
      <c r="V2" s="325"/>
      <c r="W2" s="325"/>
      <c r="X2" s="325"/>
    </row>
    <row r="3" spans="1:24" ht="15.95" customHeight="1" x14ac:dyDescent="0.25">
      <c r="A3" s="48"/>
      <c r="B3" s="49"/>
      <c r="C3" s="49"/>
      <c r="D3" s="50"/>
      <c r="E3" s="50"/>
      <c r="F3" s="51"/>
      <c r="G3" s="51"/>
      <c r="H3" s="51"/>
      <c r="I3" s="51"/>
      <c r="J3" s="50"/>
      <c r="K3" s="50"/>
      <c r="L3" s="50"/>
      <c r="M3" s="52"/>
      <c r="T3" s="265" t="s">
        <v>254</v>
      </c>
      <c r="X3" s="245" t="s">
        <v>241</v>
      </c>
    </row>
    <row r="4" spans="1:24" ht="15.95" customHeight="1" x14ac:dyDescent="0.25">
      <c r="A4" s="48"/>
      <c r="B4" s="49"/>
      <c r="C4" s="49"/>
      <c r="D4" s="50"/>
      <c r="E4" s="50"/>
      <c r="F4" s="51"/>
      <c r="G4" s="51"/>
      <c r="H4" s="51"/>
      <c r="I4" s="51"/>
      <c r="J4" s="50"/>
      <c r="K4" s="50"/>
      <c r="L4" s="50"/>
      <c r="M4" s="52"/>
    </row>
    <row r="5" spans="1:24" ht="15.95" customHeight="1" x14ac:dyDescent="0.25">
      <c r="A5" s="48"/>
      <c r="B5" s="49"/>
      <c r="C5" s="49"/>
      <c r="D5" s="53"/>
      <c r="E5" s="53"/>
      <c r="F5" s="51"/>
      <c r="G5" s="51"/>
      <c r="H5" s="51"/>
      <c r="I5" s="51"/>
      <c r="J5" s="54"/>
      <c r="K5" s="54"/>
      <c r="L5" s="54"/>
      <c r="M5" s="55"/>
    </row>
    <row r="6" spans="1:24" ht="15.95" customHeight="1" x14ac:dyDescent="0.25">
      <c r="A6" s="48"/>
      <c r="B6" s="49"/>
      <c r="C6" s="49"/>
      <c r="D6" s="53"/>
      <c r="E6" s="53"/>
      <c r="F6" s="51"/>
      <c r="G6" s="51"/>
      <c r="H6" s="51"/>
      <c r="I6" s="51"/>
      <c r="J6" s="56"/>
      <c r="K6" s="50"/>
      <c r="L6" s="50"/>
      <c r="M6" s="52"/>
      <c r="P6" s="123"/>
    </row>
    <row r="7" spans="1:24" ht="15.95" customHeight="1" x14ac:dyDescent="0.25">
      <c r="A7" s="45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7"/>
      <c r="P7" s="123"/>
    </row>
    <row r="8" spans="1:24" ht="15.95" customHeight="1" x14ac:dyDescent="0.25">
      <c r="A8" s="45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7"/>
      <c r="P8" s="123"/>
    </row>
    <row r="9" spans="1:24" ht="15.95" customHeight="1" x14ac:dyDescent="0.25">
      <c r="A9" s="57"/>
      <c r="E9" s="50"/>
      <c r="F9" s="50"/>
      <c r="G9" s="50"/>
      <c r="H9" s="50"/>
      <c r="I9" s="50"/>
      <c r="J9" s="50"/>
      <c r="K9" s="50"/>
      <c r="L9" s="50"/>
      <c r="M9" s="52"/>
      <c r="P9" s="123"/>
      <c r="S9" s="123"/>
    </row>
    <row r="10" spans="1:24" ht="15.95" customHeight="1" x14ac:dyDescent="0.25">
      <c r="A10" s="58"/>
      <c r="B10" s="51"/>
      <c r="C10" s="51"/>
      <c r="D10" s="51"/>
      <c r="E10" s="50"/>
      <c r="F10" s="50"/>
      <c r="G10" s="50"/>
      <c r="H10" s="50"/>
      <c r="I10" s="50"/>
      <c r="J10" s="50"/>
      <c r="K10" s="50"/>
      <c r="L10" s="50"/>
      <c r="M10" s="52"/>
      <c r="P10" s="123"/>
      <c r="S10" s="123"/>
    </row>
    <row r="11" spans="1:24" ht="15.95" customHeight="1" x14ac:dyDescent="0.25">
      <c r="A11" s="58"/>
      <c r="B11" s="51"/>
      <c r="C11" s="51"/>
      <c r="D11" s="51"/>
      <c r="E11" s="50"/>
      <c r="F11" s="50"/>
      <c r="G11" s="50"/>
      <c r="H11" s="50"/>
      <c r="I11" s="50"/>
      <c r="J11" s="50"/>
      <c r="K11" s="50"/>
      <c r="L11" s="50"/>
      <c r="M11" s="52"/>
      <c r="P11" s="123"/>
      <c r="Q11" s="123"/>
      <c r="R11" s="123"/>
      <c r="S11" s="123"/>
      <c r="T11" s="325" t="s">
        <v>269</v>
      </c>
      <c r="U11" s="325"/>
      <c r="V11" s="325"/>
      <c r="W11" s="325"/>
      <c r="X11" s="325"/>
    </row>
    <row r="12" spans="1:24" ht="15.95" customHeight="1" x14ac:dyDescent="0.25">
      <c r="A12" s="58"/>
      <c r="B12" s="51"/>
      <c r="C12" s="51"/>
      <c r="D12" s="51"/>
      <c r="E12" s="50"/>
      <c r="F12" s="50"/>
      <c r="G12" s="50"/>
      <c r="H12" s="50"/>
      <c r="I12" s="50"/>
      <c r="J12" s="50"/>
      <c r="K12" s="50"/>
      <c r="L12" s="50"/>
      <c r="M12" s="52"/>
      <c r="T12" s="241" t="s">
        <v>260</v>
      </c>
      <c r="U12" s="243">
        <v>17</v>
      </c>
      <c r="V12" s="269" t="s">
        <v>53</v>
      </c>
      <c r="W12" s="272" t="s">
        <v>266</v>
      </c>
      <c r="X12" s="270"/>
    </row>
    <row r="13" spans="1:24" ht="15.95" customHeight="1" x14ac:dyDescent="0.25">
      <c r="A13" s="58"/>
      <c r="B13" s="51"/>
      <c r="C13" s="51"/>
      <c r="D13" s="51"/>
      <c r="E13" s="50"/>
      <c r="F13" s="50"/>
      <c r="G13" s="50"/>
      <c r="H13" s="50"/>
      <c r="I13" s="50"/>
      <c r="J13" s="50"/>
      <c r="K13" s="50"/>
      <c r="L13" s="50"/>
      <c r="M13" s="52"/>
      <c r="T13" s="241" t="s">
        <v>261</v>
      </c>
      <c r="U13" s="243">
        <v>20</v>
      </c>
      <c r="V13" s="269" t="s">
        <v>198</v>
      </c>
      <c r="W13" s="148" t="s">
        <v>267</v>
      </c>
    </row>
    <row r="14" spans="1:24" ht="15.95" customHeight="1" x14ac:dyDescent="0.25">
      <c r="A14" s="58"/>
      <c r="B14" s="51"/>
      <c r="C14" s="51"/>
      <c r="D14" s="51"/>
      <c r="E14" s="50"/>
      <c r="F14" s="50"/>
      <c r="G14" s="50"/>
      <c r="H14" s="50"/>
      <c r="I14" s="50"/>
      <c r="J14" s="50"/>
      <c r="K14" s="50"/>
      <c r="L14" s="50"/>
      <c r="M14" s="52"/>
      <c r="T14" s="241" t="s">
        <v>262</v>
      </c>
      <c r="U14" s="243">
        <v>20</v>
      </c>
      <c r="V14" s="269" t="s">
        <v>198</v>
      </c>
      <c r="W14" s="148" t="s">
        <v>268</v>
      </c>
    </row>
    <row r="15" spans="1:24" ht="15.95" customHeight="1" x14ac:dyDescent="0.25">
      <c r="A15" s="58"/>
      <c r="B15" s="51"/>
      <c r="C15" s="51"/>
      <c r="D15" s="51"/>
      <c r="E15" s="50"/>
      <c r="F15" s="50"/>
      <c r="G15" s="59"/>
      <c r="H15" s="59"/>
      <c r="I15" s="59"/>
      <c r="J15" s="50"/>
      <c r="K15" s="50"/>
      <c r="L15" s="50"/>
      <c r="M15" s="52"/>
    </row>
    <row r="16" spans="1:24" ht="15.95" customHeight="1" x14ac:dyDescent="0.25">
      <c r="A16" s="58"/>
      <c r="B16" s="51"/>
      <c r="C16" s="51"/>
      <c r="D16" s="51"/>
      <c r="E16" s="50"/>
      <c r="F16" s="50"/>
      <c r="G16" s="50"/>
      <c r="H16" s="50"/>
      <c r="I16" s="50"/>
      <c r="J16" s="50"/>
      <c r="K16" s="50"/>
      <c r="L16" s="50"/>
      <c r="M16" s="52"/>
    </row>
    <row r="17" spans="1:24" ht="15.95" customHeight="1" x14ac:dyDescent="0.25">
      <c r="A17" s="58"/>
      <c r="B17" s="51"/>
      <c r="C17" s="51"/>
      <c r="D17" s="51"/>
      <c r="E17" s="60"/>
      <c r="F17" s="60"/>
      <c r="G17" s="60"/>
      <c r="H17" s="60"/>
      <c r="I17" s="60"/>
      <c r="J17" s="60"/>
      <c r="K17" s="60"/>
      <c r="L17" s="60"/>
      <c r="M17" s="61"/>
      <c r="T17" s="356" t="s">
        <v>494</v>
      </c>
      <c r="U17" s="357"/>
      <c r="V17" s="357"/>
      <c r="W17" s="357"/>
      <c r="X17" s="358"/>
    </row>
    <row r="18" spans="1:24" ht="15.95" customHeight="1" x14ac:dyDescent="0.25">
      <c r="A18" s="45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7"/>
      <c r="T18" s="290" t="s">
        <v>237</v>
      </c>
      <c r="U18" s="293">
        <v>5.0000000000000001E-3</v>
      </c>
    </row>
    <row r="19" spans="1:24" ht="15.95" customHeight="1" x14ac:dyDescent="0.35">
      <c r="A19" s="45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7"/>
      <c r="T19" s="290" t="s">
        <v>492</v>
      </c>
      <c r="U19" s="271">
        <v>2.5000000000000001E-2</v>
      </c>
      <c r="V19" s="291" t="s">
        <v>3</v>
      </c>
      <c r="W19" s="148" t="s">
        <v>491</v>
      </c>
    </row>
    <row r="20" spans="1:24" ht="15.95" customHeight="1" x14ac:dyDescent="0.35">
      <c r="A20" s="58"/>
      <c r="B20" s="51"/>
      <c r="C20" s="51"/>
      <c r="D20" s="51"/>
      <c r="E20" s="50"/>
      <c r="F20" s="50"/>
      <c r="G20" s="50"/>
      <c r="H20" s="50"/>
      <c r="I20" s="50"/>
      <c r="J20" s="50"/>
      <c r="K20" s="50"/>
      <c r="L20" s="50"/>
      <c r="M20" s="52"/>
      <c r="T20" s="290" t="s">
        <v>493</v>
      </c>
      <c r="U20" s="292">
        <f>Calculations!AB11</f>
        <v>0</v>
      </c>
    </row>
    <row r="21" spans="1:24" ht="15.95" customHeight="1" x14ac:dyDescent="0.25">
      <c r="A21" s="58"/>
      <c r="B21" s="51"/>
      <c r="C21" s="51"/>
      <c r="D21" s="51"/>
      <c r="E21" s="50"/>
      <c r="F21" s="50"/>
      <c r="G21" s="50"/>
      <c r="H21" s="50"/>
      <c r="I21" s="50"/>
      <c r="J21" s="50"/>
      <c r="K21" s="50"/>
      <c r="L21" s="50"/>
      <c r="M21" s="52"/>
      <c r="U21" s="20" t="str">
        <f>IF(ABS(U20-U19)&gt;U18,"Sounding increment not compatible with mehod","OK")</f>
        <v>Sounding increment not compatible with mehod</v>
      </c>
    </row>
    <row r="22" spans="1:24" ht="15.95" customHeight="1" x14ac:dyDescent="0.25">
      <c r="A22" s="58"/>
      <c r="B22" s="51"/>
      <c r="C22" s="51"/>
      <c r="D22" s="51"/>
      <c r="E22" s="50"/>
      <c r="F22" s="50"/>
      <c r="G22" s="50"/>
      <c r="H22" s="50"/>
      <c r="I22" s="50"/>
      <c r="J22" s="50"/>
      <c r="K22" s="50"/>
      <c r="L22" s="50"/>
      <c r="M22" s="52"/>
    </row>
    <row r="23" spans="1:24" ht="15.95" customHeight="1" x14ac:dyDescent="0.25">
      <c r="A23" s="58"/>
      <c r="B23" s="51"/>
      <c r="C23" s="51"/>
      <c r="D23" s="51"/>
      <c r="E23" s="50"/>
      <c r="F23" s="50"/>
      <c r="G23" s="50"/>
      <c r="H23" s="50"/>
      <c r="I23" s="50"/>
      <c r="J23" s="50"/>
      <c r="K23" s="50"/>
      <c r="L23" s="50"/>
      <c r="M23" s="52"/>
    </row>
    <row r="24" spans="1:24" ht="15.95" customHeight="1" x14ac:dyDescent="0.25">
      <c r="A24" s="58"/>
      <c r="B24" s="51"/>
      <c r="C24" s="51"/>
      <c r="D24" s="51"/>
      <c r="E24" s="62"/>
      <c r="F24" s="62"/>
      <c r="G24" s="62"/>
      <c r="H24" s="62"/>
      <c r="I24" s="62"/>
      <c r="J24" s="62"/>
      <c r="K24" s="62"/>
      <c r="L24" s="62"/>
      <c r="M24" s="63"/>
    </row>
    <row r="25" spans="1:24" ht="15.95" customHeight="1" x14ac:dyDescent="0.25">
      <c r="A25" s="58"/>
      <c r="B25" s="51"/>
      <c r="C25" s="51"/>
      <c r="D25" s="51"/>
      <c r="E25" s="50"/>
      <c r="F25" s="50"/>
      <c r="G25" s="50"/>
      <c r="H25" s="50"/>
      <c r="I25" s="50"/>
      <c r="J25" s="50"/>
      <c r="K25" s="50"/>
      <c r="L25" s="50"/>
      <c r="M25" s="52"/>
    </row>
    <row r="26" spans="1:24" ht="15.95" customHeight="1" x14ac:dyDescent="0.25">
      <c r="A26" s="45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7"/>
    </row>
    <row r="27" spans="1:24" ht="15.9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7"/>
    </row>
    <row r="28" spans="1:24" ht="15.95" customHeight="1" x14ac:dyDescent="0.25">
      <c r="A28" s="58"/>
      <c r="B28" s="51"/>
      <c r="C28" s="51"/>
      <c r="D28" s="51"/>
      <c r="E28" s="50"/>
      <c r="F28" s="50"/>
      <c r="G28" s="50"/>
      <c r="H28" s="50"/>
      <c r="I28" s="50"/>
      <c r="J28" s="50"/>
      <c r="K28" s="50"/>
      <c r="L28" s="50"/>
      <c r="M28" s="52"/>
    </row>
    <row r="29" spans="1:24" ht="15.95" customHeight="1" x14ac:dyDescent="0.25">
      <c r="A29" s="58"/>
      <c r="B29" s="51"/>
      <c r="C29" s="51"/>
      <c r="D29" s="51"/>
      <c r="E29" s="50"/>
      <c r="F29" s="50"/>
      <c r="G29" s="50"/>
      <c r="H29" s="50"/>
      <c r="I29" s="50"/>
      <c r="J29" s="50"/>
      <c r="K29" s="50"/>
      <c r="L29" s="50"/>
      <c r="M29" s="52"/>
    </row>
    <row r="30" spans="1:24" ht="15.95" customHeight="1" x14ac:dyDescent="0.25">
      <c r="A30" s="64"/>
      <c r="B30" s="65"/>
      <c r="C30" s="65"/>
      <c r="D30" s="65"/>
      <c r="E30" s="66"/>
      <c r="F30" s="66"/>
      <c r="G30" s="66"/>
      <c r="H30" s="66"/>
      <c r="I30" s="66"/>
      <c r="J30" s="66"/>
      <c r="K30" s="66"/>
      <c r="L30" s="66"/>
      <c r="M30" s="67"/>
    </row>
    <row r="31" spans="1:24" ht="15.95" customHeight="1" x14ac:dyDescent="0.25">
      <c r="A31" s="58"/>
      <c r="B31" s="51"/>
      <c r="C31" s="51"/>
      <c r="D31" s="51"/>
      <c r="E31" s="50"/>
      <c r="F31" s="50"/>
      <c r="G31" s="50"/>
      <c r="H31" s="50"/>
      <c r="I31" s="50"/>
      <c r="J31" s="50"/>
      <c r="K31" s="50"/>
      <c r="L31" s="50"/>
      <c r="M31" s="52"/>
    </row>
    <row r="32" spans="1:24" ht="15.95" customHeight="1" x14ac:dyDescent="0.25">
      <c r="A32" s="58"/>
      <c r="B32" s="51"/>
      <c r="C32" s="51"/>
      <c r="D32" s="51"/>
      <c r="E32" s="50"/>
      <c r="F32" s="50"/>
      <c r="G32" s="50"/>
      <c r="H32" s="50"/>
      <c r="I32" s="50"/>
      <c r="J32" s="50"/>
      <c r="K32" s="50"/>
      <c r="L32" s="50"/>
      <c r="M32" s="52"/>
    </row>
    <row r="33" spans="1:13" ht="15.95" customHeight="1" x14ac:dyDescent="0.25">
      <c r="A33" s="58"/>
      <c r="B33" s="51"/>
      <c r="C33" s="51"/>
      <c r="D33" s="51"/>
      <c r="E33" s="50"/>
      <c r="F33" s="50"/>
      <c r="G33" s="50"/>
      <c r="H33" s="50"/>
      <c r="I33" s="50"/>
      <c r="J33" s="50"/>
      <c r="K33" s="50"/>
      <c r="L33" s="50"/>
      <c r="M33" s="52"/>
    </row>
    <row r="34" spans="1:13" ht="15.95" customHeight="1" x14ac:dyDescent="0.25">
      <c r="A34" s="58"/>
      <c r="B34" s="51"/>
      <c r="C34" s="51"/>
      <c r="D34" s="51"/>
      <c r="E34" s="50"/>
      <c r="F34" s="50"/>
      <c r="G34" s="50"/>
      <c r="H34" s="50"/>
      <c r="I34" s="50"/>
      <c r="J34" s="50"/>
      <c r="K34" s="50"/>
      <c r="L34" s="50"/>
      <c r="M34" s="52"/>
    </row>
    <row r="35" spans="1:13" ht="15.95" customHeight="1" x14ac:dyDescent="0.25">
      <c r="A35" s="58"/>
      <c r="B35" s="51"/>
      <c r="C35" s="51"/>
      <c r="D35" s="51"/>
      <c r="E35" s="50"/>
      <c r="F35" s="50"/>
      <c r="G35" s="50"/>
      <c r="H35" s="50"/>
      <c r="I35" s="50"/>
      <c r="J35" s="50"/>
      <c r="K35" s="50"/>
      <c r="L35" s="50"/>
      <c r="M35" s="52"/>
    </row>
    <row r="36" spans="1:13" ht="15.95" customHeight="1" x14ac:dyDescent="0.25">
      <c r="A36" s="58"/>
      <c r="B36" s="51"/>
      <c r="C36" s="51"/>
      <c r="D36" s="51"/>
      <c r="E36" s="68"/>
      <c r="F36" s="68"/>
      <c r="G36" s="68"/>
      <c r="H36" s="68"/>
      <c r="I36" s="68"/>
      <c r="J36" s="68"/>
      <c r="K36" s="68"/>
      <c r="L36" s="68"/>
      <c r="M36" s="69"/>
    </row>
    <row r="37" spans="1:13" ht="15.95" customHeight="1" x14ac:dyDescent="0.25">
      <c r="A37" s="70"/>
      <c r="B37" s="71"/>
      <c r="C37" s="71"/>
      <c r="D37" s="71"/>
      <c r="E37" s="72"/>
      <c r="F37" s="73"/>
      <c r="G37" s="73"/>
      <c r="H37" s="73"/>
      <c r="I37" s="73"/>
      <c r="J37" s="73"/>
      <c r="K37" s="73"/>
      <c r="L37" s="73"/>
      <c r="M37" s="74"/>
    </row>
    <row r="38" spans="1:13" ht="15.95" customHeight="1" x14ac:dyDescent="0.25">
      <c r="A38" s="75"/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7"/>
    </row>
    <row r="39" spans="1:13" ht="15.95" customHeight="1" x14ac:dyDescent="0.25">
      <c r="A39" s="78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2"/>
    </row>
    <row r="40" spans="1:13" ht="15.95" customHeight="1" x14ac:dyDescent="0.25">
      <c r="A40" s="78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2"/>
    </row>
    <row r="41" spans="1:13" ht="23.1" customHeight="1" x14ac:dyDescent="0.25">
      <c r="A41" s="79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80"/>
    </row>
    <row r="42" spans="1:13" ht="15.95" customHeight="1" x14ac:dyDescent="0.25">
      <c r="A42" s="79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80"/>
    </row>
    <row r="43" spans="1:13" ht="15.95" customHeight="1" x14ac:dyDescent="0.25">
      <c r="A43" s="58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80"/>
    </row>
    <row r="44" spans="1:13" ht="15.95" customHeight="1" x14ac:dyDescent="0.25">
      <c r="A44" s="81" t="str">
        <f>IF(General!F34&lt;&gt;"",General!F34,"")</f>
        <v/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80"/>
    </row>
    <row r="45" spans="1:13" x14ac:dyDescent="0.25">
      <c r="A45" s="82" t="str">
        <f>General!B5</f>
        <v>Project nr.</v>
      </c>
      <c r="B45" s="83"/>
      <c r="C45" s="83"/>
      <c r="D45" s="83"/>
      <c r="E45" s="84"/>
      <c r="F45" s="84"/>
      <c r="G45" s="83"/>
      <c r="H45" s="83"/>
      <c r="I45" s="85" t="str">
        <f>IF(General!C6&lt;&gt;"",General!B6 &amp; ":  " &amp; General!C6,"") &amp; IF(General!C7&lt;&gt;"", "  " &amp; General!B7 &amp; ":  " &amp; General!C7,"") &amp; " "</f>
        <v xml:space="preserve"> </v>
      </c>
      <c r="J45" s="86" t="str">
        <f>General!B8</f>
        <v>Borehole</v>
      </c>
      <c r="K45" s="84"/>
      <c r="L45" s="84"/>
      <c r="M45" s="116" t="str">
        <f>Calculations!H9</f>
        <v/>
      </c>
    </row>
    <row r="46" spans="1:13" ht="18" x14ac:dyDescent="0.25">
      <c r="A46" s="346" t="str">
        <f>IF(General!C5&lt;&gt;"",General!C5,"")</f>
        <v>Project name</v>
      </c>
      <c r="B46" s="347"/>
      <c r="C46" s="347"/>
      <c r="D46" s="347"/>
      <c r="E46" s="347"/>
      <c r="F46" s="347"/>
      <c r="G46" s="347"/>
      <c r="H46" s="347"/>
      <c r="I46" s="347"/>
      <c r="J46" s="328" t="str">
        <f>IF(General!C8&lt;&gt;"",General!C8,"")</f>
        <v/>
      </c>
      <c r="K46" s="329"/>
      <c r="L46" s="329"/>
      <c r="M46" s="330"/>
    </row>
    <row r="47" spans="1:13" ht="15" customHeight="1" x14ac:dyDescent="0.25">
      <c r="A47" s="87" t="str">
        <f>General!B31</f>
        <v>Content</v>
      </c>
      <c r="B47" s="88"/>
      <c r="C47" s="88"/>
      <c r="D47" s="88"/>
      <c r="E47" s="88"/>
      <c r="F47" s="88"/>
      <c r="G47" s="88"/>
      <c r="H47" s="88"/>
      <c r="I47" s="88"/>
      <c r="J47" s="331"/>
      <c r="K47" s="332"/>
      <c r="L47" s="332"/>
      <c r="M47" s="333"/>
    </row>
    <row r="48" spans="1:13" ht="18" customHeight="1" x14ac:dyDescent="0.25">
      <c r="A48" s="348" t="str">
        <f>General!B34</f>
        <v>Classification Valsson et al. 2024</v>
      </c>
      <c r="B48" s="349"/>
      <c r="C48" s="349"/>
      <c r="D48" s="349"/>
      <c r="E48" s="349"/>
      <c r="F48" s="349"/>
      <c r="G48" s="349"/>
      <c r="H48" s="349"/>
      <c r="I48" s="349"/>
      <c r="J48" s="86" t="str">
        <f>General!B19</f>
        <v>Field team leader</v>
      </c>
      <c r="K48" s="124"/>
      <c r="L48" s="124"/>
      <c r="M48" s="122"/>
    </row>
    <row r="49" spans="1:13" ht="15" customHeight="1" x14ac:dyDescent="0.25">
      <c r="A49" s="91"/>
      <c r="B49" s="88"/>
      <c r="C49" s="89" t="str">
        <f>General!B13</f>
        <v>Completed</v>
      </c>
      <c r="D49" s="92"/>
      <c r="E49" s="90" t="str">
        <f>General!B14</f>
        <v>Controlled</v>
      </c>
      <c r="F49" s="92"/>
      <c r="G49" s="90" t="str">
        <f>General!B15</f>
        <v>Approved</v>
      </c>
      <c r="H49" s="90"/>
      <c r="I49" s="92"/>
      <c r="J49" s="337" t="str">
        <f>General!C19</f>
        <v/>
      </c>
      <c r="K49" s="338"/>
      <c r="L49" s="338"/>
      <c r="M49" s="339"/>
    </row>
    <row r="50" spans="1:13" ht="15" customHeight="1" x14ac:dyDescent="0.25">
      <c r="A50" s="91"/>
      <c r="B50" s="88"/>
      <c r="C50" s="350" t="str">
        <f>IF(General!C13&lt;&gt;"",General!C13,"")</f>
        <v/>
      </c>
      <c r="D50" s="351"/>
      <c r="E50" s="352" t="str">
        <f>IF(General!C14&lt;&gt;"",General!C14,"")</f>
        <v/>
      </c>
      <c r="F50" s="353"/>
      <c r="G50" s="354" t="str">
        <f>IF(General!C15&lt;&gt;"",General!C15,"")</f>
        <v/>
      </c>
      <c r="H50" s="354"/>
      <c r="I50" s="351"/>
      <c r="J50" s="89" t="str">
        <f>General!C31</f>
        <v>Figure</v>
      </c>
      <c r="K50" s="121"/>
      <c r="L50" s="121"/>
      <c r="M50" s="120"/>
    </row>
    <row r="51" spans="1:13" ht="15" customHeight="1" x14ac:dyDescent="0.25">
      <c r="A51" s="91"/>
      <c r="B51" s="88"/>
      <c r="C51" s="86" t="str">
        <f>General!B4</f>
        <v>Company</v>
      </c>
      <c r="D51" s="93"/>
      <c r="E51" s="84" t="str">
        <f>General!B18</f>
        <v>Date sounding</v>
      </c>
      <c r="F51" s="93"/>
      <c r="G51" s="94" t="str">
        <f>General!D31</f>
        <v>Revision</v>
      </c>
      <c r="H51" s="326" t="str">
        <f>IF(General!D34&lt;&gt;"",General!D34,"")</f>
        <v/>
      </c>
      <c r="I51" s="327"/>
      <c r="J51" s="328">
        <f>IF(General!C34&lt;&gt;"",General!C34,"")</f>
        <v>3</v>
      </c>
      <c r="K51" s="329"/>
      <c r="L51" s="329"/>
      <c r="M51" s="330"/>
    </row>
    <row r="52" spans="1:13" ht="15.75" customHeight="1" thickBot="1" x14ac:dyDescent="0.3">
      <c r="A52" s="95"/>
      <c r="B52" s="96"/>
      <c r="C52" s="340" t="str">
        <f>IF(General!C4&lt;&gt;"",General!C4,"")</f>
        <v>NPRA</v>
      </c>
      <c r="D52" s="341"/>
      <c r="E52" s="342" t="str">
        <f>IF(General!C18&lt;&gt;"",General!C18,"")</f>
        <v/>
      </c>
      <c r="F52" s="343"/>
      <c r="G52" s="97" t="str">
        <f>General!E31</f>
        <v>Rev. Date</v>
      </c>
      <c r="H52" s="344" t="str">
        <f>IF(General!E34&lt;&gt;"",General!E34,"")</f>
        <v/>
      </c>
      <c r="I52" s="345"/>
      <c r="J52" s="334"/>
      <c r="K52" s="335"/>
      <c r="L52" s="335"/>
      <c r="M52" s="336"/>
    </row>
  </sheetData>
  <mergeCells count="15">
    <mergeCell ref="T2:X2"/>
    <mergeCell ref="T11:X11"/>
    <mergeCell ref="A46:I46"/>
    <mergeCell ref="J46:M47"/>
    <mergeCell ref="A48:I48"/>
    <mergeCell ref="T17:X17"/>
    <mergeCell ref="J49:M49"/>
    <mergeCell ref="C50:D50"/>
    <mergeCell ref="E50:F50"/>
    <mergeCell ref="G50:I50"/>
    <mergeCell ref="H51:I51"/>
    <mergeCell ref="J51:M52"/>
    <mergeCell ref="C52:D52"/>
    <mergeCell ref="E52:F52"/>
    <mergeCell ref="H52:I52"/>
  </mergeCells>
  <conditionalFormatting sqref="U21">
    <cfRule type="expression" dxfId="0" priority="1">
      <formula>$U$21&lt;&gt;"OK"</formula>
    </cfRule>
  </conditionalFormatting>
  <dataValidations disablePrompts="1" count="1">
    <dataValidation type="list" allowBlank="1" showInputMessage="1" showErrorMessage="1" sqref="X3" xr:uid="{1E22DDA4-7B18-4A8D-903D-DA2C095F826A}">
      <formula1>"Yes,No"</formula1>
    </dataValidation>
  </dataValidations>
  <printOptions horizontalCentered="1" verticalCentered="1"/>
  <pageMargins left="0.23622047244094491" right="0.23622047244094491" top="0.23622047244094491" bottom="0.23622047244094491" header="0" footer="0"/>
  <pageSetup paperSize="9" orientation="portrait" r:id="rId1"/>
  <headerFooter>
    <oddFooter>&amp;L&amp;"Lucida Sans Unicode,Normal Italic"&amp;7&amp;K01+046&amp;Z&amp;F&amp;R&amp;"Lucida Sans Unicode,Normal Italic"&amp;7&amp;K01+046TOTAL v.2024_02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read_file_btn">
              <controlPr defaultSize="0" print="0" autoFill="0" autoPict="0" macro="[0]!classify_DTW">
                <anchor moveWithCells="1" sizeWithCells="1">
                  <from>
                    <xdr:col>13</xdr:col>
                    <xdr:colOff>85725</xdr:colOff>
                    <xdr:row>1</xdr:row>
                    <xdr:rowOff>9525</xdr:rowOff>
                  </from>
                  <to>
                    <xdr:col>15</xdr:col>
                    <xdr:colOff>542925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661CF-0319-4B99-A0BE-54F9EB7FA9EE}">
  <sheetPr codeName="S_99_calculations">
    <tabColor rgb="FFFF9600"/>
  </sheetPr>
  <dimension ref="A1:AZ30"/>
  <sheetViews>
    <sheetView workbookViewId="0">
      <pane xSplit="1" ySplit="19" topLeftCell="B20" activePane="bottomRight" state="frozen"/>
      <selection pane="topRight" activeCell="B1" sqref="B1"/>
      <selection pane="bottomLeft" activeCell="A20" sqref="A20"/>
      <selection pane="bottomRight"/>
    </sheetView>
  </sheetViews>
  <sheetFormatPr defaultRowHeight="15" x14ac:dyDescent="0.25"/>
  <cols>
    <col min="1" max="4" width="12.42578125" customWidth="1"/>
    <col min="5" max="5" width="16.5703125" bestFit="1" customWidth="1"/>
    <col min="6" max="8" width="11" customWidth="1"/>
    <col min="9" max="16" width="12.42578125" customWidth="1"/>
    <col min="17" max="17" width="19.28515625" bestFit="1" customWidth="1"/>
    <col min="18" max="27" width="19.28515625" customWidth="1"/>
    <col min="28" max="29" width="12" customWidth="1"/>
    <col min="30" max="30" width="13.42578125" customWidth="1"/>
    <col min="31" max="31" width="19.7109375" bestFit="1" customWidth="1"/>
    <col min="32" max="32" width="16.42578125" customWidth="1"/>
    <col min="33" max="33" width="21.140625" bestFit="1" customWidth="1"/>
    <col min="34" max="34" width="13.28515625" bestFit="1" customWidth="1"/>
    <col min="35" max="35" width="16" customWidth="1"/>
    <col min="36" max="36" width="18.5703125" customWidth="1"/>
    <col min="37" max="37" width="12.7109375" bestFit="1" customWidth="1"/>
    <col min="38" max="38" width="14" customWidth="1"/>
    <col min="39" max="39" width="15.5703125" bestFit="1" customWidth="1"/>
    <col min="40" max="40" width="17" customWidth="1"/>
    <col min="41" max="41" width="17" style="255" customWidth="1"/>
    <col min="42" max="42" width="13.7109375" customWidth="1"/>
    <col min="43" max="43" width="30" customWidth="1"/>
  </cols>
  <sheetData>
    <row r="1" spans="1:52" x14ac:dyDescent="0.25">
      <c r="A1" s="114">
        <v>1</v>
      </c>
      <c r="B1" s="114">
        <v>2</v>
      </c>
      <c r="C1" s="114">
        <v>3</v>
      </c>
      <c r="D1" s="114">
        <v>4</v>
      </c>
      <c r="E1" s="114">
        <v>5</v>
      </c>
      <c r="F1" s="114">
        <v>6</v>
      </c>
      <c r="G1" s="114">
        <v>7</v>
      </c>
      <c r="H1" s="114">
        <v>8</v>
      </c>
      <c r="I1" s="114">
        <v>9</v>
      </c>
      <c r="J1" s="114">
        <v>10</v>
      </c>
      <c r="K1" s="114">
        <v>11</v>
      </c>
      <c r="L1" s="114">
        <v>12</v>
      </c>
      <c r="M1" s="114">
        <v>13</v>
      </c>
      <c r="N1" s="114">
        <v>14</v>
      </c>
      <c r="O1" s="114">
        <v>15</v>
      </c>
      <c r="P1" s="114">
        <v>16</v>
      </c>
      <c r="Q1" s="114">
        <v>17</v>
      </c>
      <c r="R1" s="114">
        <v>18</v>
      </c>
      <c r="S1" s="114">
        <v>19</v>
      </c>
      <c r="T1" s="114">
        <v>20</v>
      </c>
      <c r="U1" s="114">
        <v>21</v>
      </c>
      <c r="V1" s="114">
        <v>22</v>
      </c>
      <c r="W1" s="114">
        <v>23</v>
      </c>
      <c r="X1" s="114">
        <v>24</v>
      </c>
      <c r="Y1" s="114">
        <v>25</v>
      </c>
      <c r="Z1" s="114">
        <v>26</v>
      </c>
      <c r="AA1" s="114">
        <v>27</v>
      </c>
      <c r="AB1" s="114">
        <v>28</v>
      </c>
      <c r="AC1" s="114">
        <v>29</v>
      </c>
      <c r="AD1" s="114">
        <v>30</v>
      </c>
      <c r="AE1" s="114">
        <v>31</v>
      </c>
      <c r="AF1" s="114">
        <v>32</v>
      </c>
      <c r="AG1" s="114">
        <v>33</v>
      </c>
      <c r="AH1" s="114">
        <v>34</v>
      </c>
      <c r="AI1" s="114">
        <v>35</v>
      </c>
      <c r="AJ1" s="114">
        <v>36</v>
      </c>
      <c r="AK1" s="114">
        <v>37</v>
      </c>
      <c r="AL1" s="114">
        <v>38</v>
      </c>
      <c r="AM1" s="114">
        <v>39</v>
      </c>
      <c r="AN1" s="114">
        <v>40</v>
      </c>
      <c r="AO1" s="114">
        <v>41</v>
      </c>
      <c r="AP1" s="114">
        <v>42</v>
      </c>
      <c r="AQ1" s="114">
        <v>43</v>
      </c>
    </row>
    <row r="2" spans="1:52" x14ac:dyDescent="0.25">
      <c r="A2" s="115" t="s">
        <v>11</v>
      </c>
      <c r="B2" s="117"/>
      <c r="D2" s="115" t="s">
        <v>17</v>
      </c>
      <c r="E2" s="117"/>
    </row>
    <row r="3" spans="1:52" ht="18" x14ac:dyDescent="0.35">
      <c r="A3" s="115" t="s">
        <v>12</v>
      </c>
      <c r="B3" s="117"/>
      <c r="D3" s="115" t="s">
        <v>23</v>
      </c>
      <c r="E3" s="117"/>
      <c r="G3" s="178" t="s">
        <v>157</v>
      </c>
      <c r="H3" s="202" t="s">
        <v>30</v>
      </c>
      <c r="I3" s="202" t="s">
        <v>173</v>
      </c>
      <c r="J3" s="179"/>
      <c r="T3" s="318" t="s">
        <v>498</v>
      </c>
      <c r="W3" s="199" t="s">
        <v>189</v>
      </c>
      <c r="X3" s="200"/>
      <c r="Y3" s="200"/>
      <c r="Z3" s="201"/>
      <c r="AD3" s="181" t="s">
        <v>134</v>
      </c>
      <c r="AE3" s="182"/>
      <c r="AG3" s="186"/>
      <c r="AH3" s="187" t="s">
        <v>151</v>
      </c>
      <c r="AI3" s="188" t="s">
        <v>152</v>
      </c>
      <c r="AK3" s="161" t="str">
        <f>General!B23</f>
        <v>Tip area</v>
      </c>
      <c r="AL3" s="162">
        <f>General!C23</f>
        <v>2.5517586328783095E-3</v>
      </c>
      <c r="AM3" s="163" t="str">
        <f>General!D23</f>
        <v>(m2)</v>
      </c>
    </row>
    <row r="4" spans="1:52" ht="15.75" x14ac:dyDescent="0.3">
      <c r="A4" s="115" t="s">
        <v>13</v>
      </c>
      <c r="B4" s="117"/>
      <c r="D4" s="115" t="s">
        <v>26</v>
      </c>
      <c r="E4" s="119"/>
      <c r="G4" s="156" t="s">
        <v>167</v>
      </c>
      <c r="H4" s="203">
        <f>MIN(A20:A10000)</f>
        <v>0</v>
      </c>
      <c r="I4" s="228">
        <f>MIN(B20:B10000)</f>
        <v>0</v>
      </c>
      <c r="J4" s="195"/>
      <c r="T4" s="319" t="str">
        <f>General!C26</f>
        <v>Yes</v>
      </c>
      <c r="W4" s="164" t="s">
        <v>190</v>
      </c>
      <c r="X4" s="165" t="s">
        <v>191</v>
      </c>
      <c r="Y4" s="165" t="s">
        <v>192</v>
      </c>
      <c r="Z4" s="166" t="s">
        <v>188</v>
      </c>
      <c r="AD4" s="142" t="s">
        <v>103</v>
      </c>
      <c r="AE4" s="143">
        <f>General!C22</f>
        <v>10</v>
      </c>
      <c r="AG4" s="189" t="s">
        <v>149</v>
      </c>
      <c r="AH4" s="190">
        <v>0</v>
      </c>
      <c r="AI4" s="191">
        <f>AI5</f>
        <v>17</v>
      </c>
      <c r="AK4" s="175" t="s">
        <v>179</v>
      </c>
      <c r="AL4" s="206" t="s">
        <v>182</v>
      </c>
      <c r="AM4" s="166" t="s">
        <v>183</v>
      </c>
    </row>
    <row r="5" spans="1:52" x14ac:dyDescent="0.25">
      <c r="A5" s="115" t="s">
        <v>14</v>
      </c>
      <c r="B5" s="119"/>
      <c r="D5" s="115" t="s">
        <v>28</v>
      </c>
      <c r="E5" s="117"/>
      <c r="G5" s="158" t="s">
        <v>168</v>
      </c>
      <c r="H5" s="204">
        <f>MAX(A20:A10000)</f>
        <v>0</v>
      </c>
      <c r="I5" s="229">
        <f>MAX(B20:B10000)</f>
        <v>0</v>
      </c>
      <c r="J5" s="205"/>
      <c r="T5" s="317">
        <f>INT(LOWER(T4)="yes")</f>
        <v>1</v>
      </c>
      <c r="W5" s="167">
        <f>Z13</f>
        <v>0.1</v>
      </c>
      <c r="X5" s="157">
        <f>AA13</f>
        <v>5</v>
      </c>
      <c r="Y5" s="168">
        <f>Y13</f>
        <v>35</v>
      </c>
      <c r="Z5" s="169">
        <f>H4</f>
        <v>0</v>
      </c>
      <c r="AD5" s="144" t="s">
        <v>126</v>
      </c>
      <c r="AE5" s="145">
        <f>IF(ISBLANK('1.Stresses'!P5),NA(),'1.Stresses'!P5)</f>
        <v>0</v>
      </c>
      <c r="AG5" s="192">
        <v>1</v>
      </c>
      <c r="AH5" s="190">
        <f>'1.Stresses'!T5</f>
        <v>0</v>
      </c>
      <c r="AI5" s="191">
        <f>'1.Stresses'!U5</f>
        <v>17</v>
      </c>
      <c r="AK5" s="175" t="s">
        <v>180</v>
      </c>
      <c r="AL5" s="206" t="e">
        <f>0.3/AB11</f>
        <v>#DIV/0!</v>
      </c>
      <c r="AM5" s="166" t="e">
        <f>INT( (AL5+0.00001)/2 )</f>
        <v>#DIV/0!</v>
      </c>
    </row>
    <row r="6" spans="1:52" ht="15.75" x14ac:dyDescent="0.25">
      <c r="A6" s="115" t="s">
        <v>15</v>
      </c>
      <c r="B6" s="117"/>
      <c r="D6" s="115" t="s">
        <v>20</v>
      </c>
      <c r="E6" s="118"/>
      <c r="W6" s="170">
        <f>W5</f>
        <v>0.1</v>
      </c>
      <c r="X6" s="159">
        <f>X5</f>
        <v>5</v>
      </c>
      <c r="Y6" s="171">
        <f>Y5</f>
        <v>35</v>
      </c>
      <c r="Z6" s="172">
        <f>H5</f>
        <v>0</v>
      </c>
      <c r="AD6" s="146" t="s">
        <v>135</v>
      </c>
      <c r="AE6" s="147">
        <f>($AE$5&lt;0)*(ABS($AE$5)*$AE$4)</f>
        <v>0</v>
      </c>
      <c r="AG6" s="192">
        <v>2</v>
      </c>
      <c r="AH6" s="190">
        <f>IF(AND(NOT(ISBLANK('1.Stresses'!T6)),'1.Stresses'!T6&lt;$AH$11),'1.Stresses'!T6,$AH$11)</f>
        <v>0</v>
      </c>
      <c r="AI6" s="191">
        <f>IF(AND(NOT(ISBLANK('1.Stresses'!T6)),'1.Stresses'!T6&lt;$AH$11),'1.Stresses'!U6,$AI$11)</f>
        <v>17</v>
      </c>
      <c r="AK6" s="176" t="s">
        <v>181</v>
      </c>
      <c r="AL6" s="207" t="e">
        <f>1/AB11</f>
        <v>#DIV/0!</v>
      </c>
      <c r="AM6" s="177" t="e">
        <f>INT( (AL6+0.00001)/2 )</f>
        <v>#DIV/0!</v>
      </c>
    </row>
    <row r="7" spans="1:52" x14ac:dyDescent="0.25">
      <c r="A7" s="115" t="s">
        <v>29</v>
      </c>
      <c r="B7" s="117"/>
      <c r="D7" s="115" t="s">
        <v>21</v>
      </c>
      <c r="E7" s="118"/>
      <c r="G7" s="178" t="s">
        <v>113</v>
      </c>
      <c r="H7" s="179"/>
      <c r="J7" s="178" t="str">
        <f>General!B28</f>
        <v>Show depth to at least</v>
      </c>
      <c r="K7" s="179"/>
      <c r="M7" s="178" t="s">
        <v>258</v>
      </c>
      <c r="N7" s="179"/>
      <c r="AG7" s="192">
        <v>3</v>
      </c>
      <c r="AH7" s="190">
        <f>IF(AND(NOT(ISBLANK('1.Stresses'!T7)),'1.Stresses'!T7&lt;$AH$11),'1.Stresses'!T7,$AH$11)</f>
        <v>0</v>
      </c>
      <c r="AI7" s="191">
        <f>IF(AND(NOT(ISBLANK('1.Stresses'!T7)),'1.Stresses'!T7&lt;$AH$11),'1.Stresses'!U7,$AI$11)</f>
        <v>17</v>
      </c>
    </row>
    <row r="8" spans="1:52" ht="18" x14ac:dyDescent="0.25">
      <c r="A8" s="115" t="s">
        <v>16</v>
      </c>
      <c r="B8" s="117"/>
      <c r="D8" s="115" t="s">
        <v>22</v>
      </c>
      <c r="E8" s="118"/>
      <c r="G8" s="175" t="s">
        <v>147</v>
      </c>
      <c r="H8" s="166" t="str">
        <f>General!C24 &amp; " " &amp; General!D24</f>
        <v>Depth (m)</v>
      </c>
      <c r="J8" s="164" t="s">
        <v>186</v>
      </c>
      <c r="K8" s="143" t="s">
        <v>187</v>
      </c>
      <c r="M8" s="164" t="s">
        <v>186</v>
      </c>
      <c r="N8" s="143" t="s">
        <v>187</v>
      </c>
      <c r="AC8" s="183" t="s">
        <v>126</v>
      </c>
      <c r="AD8" s="184" t="s">
        <v>186</v>
      </c>
      <c r="AE8" s="185" t="s">
        <v>187</v>
      </c>
      <c r="AG8" s="192">
        <v>4</v>
      </c>
      <c r="AH8" s="190">
        <f>IF(AND(NOT(ISBLANK('1.Stresses'!T8)),'1.Stresses'!T8&lt;$AH$11),'1.Stresses'!T8,$AH$11)</f>
        <v>0</v>
      </c>
      <c r="AI8" s="191">
        <f>IF(AND(NOT(ISBLANK('1.Stresses'!T8)),'1.Stresses'!T8&lt;$AH$11),'1.Stresses'!U8,$AI$11)</f>
        <v>17</v>
      </c>
      <c r="AK8" s="178" t="s">
        <v>36</v>
      </c>
      <c r="AL8" s="179"/>
      <c r="AM8" s="208" t="s">
        <v>206</v>
      </c>
      <c r="AN8" s="180"/>
      <c r="AO8" s="256"/>
    </row>
    <row r="9" spans="1:52" x14ac:dyDescent="0.25">
      <c r="A9" s="115" t="s">
        <v>18</v>
      </c>
      <c r="B9" s="117"/>
      <c r="D9" s="115" t="s">
        <v>25</v>
      </c>
      <c r="E9" s="118"/>
      <c r="G9" s="175" t="str">
        <f>General!B10 &amp; IF(NOT(ISBLANK(General!C10)),IF(General!C10&gt;0," +"," "),"")</f>
        <v>Elev.</v>
      </c>
      <c r="H9" s="166" t="str">
        <f>IF(NOT(ISBLANK(General!C10)),G9 &amp; General!C10,"")</f>
        <v/>
      </c>
      <c r="J9" s="261">
        <v>0</v>
      </c>
      <c r="K9" s="262">
        <f>General!C28-0.5</f>
        <v>4.5</v>
      </c>
      <c r="M9" s="164">
        <f>1*(N10&gt;N9)</f>
        <v>0</v>
      </c>
      <c r="N9" s="143">
        <v>0</v>
      </c>
      <c r="AC9" s="156"/>
      <c r="AD9" s="157">
        <f>AE11</f>
        <v>0</v>
      </c>
      <c r="AE9" s="145">
        <f>AE5</f>
        <v>0</v>
      </c>
      <c r="AG9" s="192">
        <v>5</v>
      </c>
      <c r="AH9" s="190">
        <f>IF(AND(NOT(ISBLANK('1.Stresses'!T9)),'1.Stresses'!T9&lt;$AH$11),'1.Stresses'!T9,$AH$11)</f>
        <v>0</v>
      </c>
      <c r="AI9" s="191">
        <f>IF(AND(NOT(ISBLANK('1.Stresses'!T9)),'1.Stresses'!T9&lt;$AH$11),'1.Stresses'!U9,$AI$11)</f>
        <v>17</v>
      </c>
      <c r="AK9" s="175" t="s">
        <v>200</v>
      </c>
      <c r="AL9" s="166">
        <f>'3.Valsson et al.''24-chart'!U13</f>
        <v>8.8999999999999999E-3</v>
      </c>
      <c r="AM9" s="176" t="s">
        <v>211</v>
      </c>
      <c r="AN9" s="177">
        <v>1.96</v>
      </c>
      <c r="AO9" s="206"/>
    </row>
    <row r="10" spans="1:52" x14ac:dyDescent="0.25">
      <c r="A10" s="115" t="s">
        <v>19</v>
      </c>
      <c r="B10" s="117"/>
      <c r="D10" s="115" t="s">
        <v>24</v>
      </c>
      <c r="E10" s="119"/>
      <c r="G10" s="175" t="str">
        <f>General!B8</f>
        <v>Borehole</v>
      </c>
      <c r="H10" s="166" t="str">
        <f>General!C9 &amp; " " &amp; General!C8</f>
        <v xml:space="preserve">BH </v>
      </c>
      <c r="M10" s="261">
        <f>1*(N10&gt;N9)</f>
        <v>0</v>
      </c>
      <c r="N10" s="262">
        <f>H4</f>
        <v>0</v>
      </c>
      <c r="AC10" s="158"/>
      <c r="AD10" s="159">
        <f>AE12</f>
        <v>0</v>
      </c>
      <c r="AE10" s="160">
        <f>AE9</f>
        <v>0</v>
      </c>
      <c r="AG10" s="192">
        <v>6</v>
      </c>
      <c r="AH10" s="190">
        <f>IF(AND(NOT(ISBLANK('1.Stresses'!T10)),'1.Stresses'!T10&lt;$AH$11),'1.Stresses'!T10,$AH$11)</f>
        <v>0</v>
      </c>
      <c r="AI10" s="191">
        <f>IF(AND(NOT(ISBLANK('1.Stresses'!T10)),'1.Stresses'!T10&lt;$AH$11),'1.Stresses'!U10,$AI$11)</f>
        <v>17</v>
      </c>
      <c r="AK10" s="175" t="s">
        <v>201</v>
      </c>
      <c r="AL10" s="248">
        <f>'3.Valsson et al.''24-chart'!U14</f>
        <v>40</v>
      </c>
      <c r="AM10" s="238" t="s">
        <v>237</v>
      </c>
      <c r="AN10" s="239"/>
      <c r="AO10" s="257"/>
    </row>
    <row r="11" spans="1:52" ht="15.75" x14ac:dyDescent="0.3">
      <c r="A11" s="115" t="s">
        <v>27</v>
      </c>
      <c r="B11" s="117"/>
      <c r="D11" s="115" t="s">
        <v>43</v>
      </c>
      <c r="E11" s="117"/>
      <c r="G11" s="176" t="s">
        <v>223</v>
      </c>
      <c r="H11" s="177" t="s">
        <v>157</v>
      </c>
      <c r="J11" s="178" t="s">
        <v>251</v>
      </c>
      <c r="K11" s="179"/>
      <c r="AA11" t="s">
        <v>178</v>
      </c>
      <c r="AB11" s="150">
        <f>_xlfn.MODE.SNGL(AB20:AB10000)</f>
        <v>0</v>
      </c>
      <c r="AD11" s="148" t="s">
        <v>167</v>
      </c>
      <c r="AE11" s="155">
        <f>MIN(AE20:AE10000)</f>
        <v>0</v>
      </c>
      <c r="AG11" s="189" t="s">
        <v>150</v>
      </c>
      <c r="AH11" s="193">
        <f>$A$20</f>
        <v>0</v>
      </c>
      <c r="AI11" s="194">
        <f>$AC$20</f>
        <v>17</v>
      </c>
      <c r="AK11" s="175" t="s">
        <v>202</v>
      </c>
      <c r="AL11" s="166">
        <f>'3.Valsson et al.''24-chart'!U15</f>
        <v>5.9999999999999995E-4</v>
      </c>
      <c r="AM11" s="234">
        <f>AN14</f>
        <v>50</v>
      </c>
      <c r="AN11" s="235">
        <f>H4</f>
        <v>0</v>
      </c>
      <c r="AO11" s="258"/>
    </row>
    <row r="12" spans="1:52" x14ac:dyDescent="0.25">
      <c r="J12" s="261"/>
      <c r="K12" s="263">
        <v>1E-10</v>
      </c>
      <c r="AD12" s="148" t="s">
        <v>168</v>
      </c>
      <c r="AE12" s="155">
        <f>MAX(AE20:AE10000)</f>
        <v>0</v>
      </c>
      <c r="AG12" s="156"/>
      <c r="AH12" s="123"/>
      <c r="AI12" s="195"/>
      <c r="AK12" s="175" t="s">
        <v>203</v>
      </c>
      <c r="AL12" s="166">
        <f>'3.Valsson et al.''24-chart'!X13</f>
        <v>-0.61434999999999995</v>
      </c>
      <c r="AM12" s="236">
        <f>AN14</f>
        <v>50</v>
      </c>
      <c r="AN12" s="237">
        <f>H5</f>
        <v>0</v>
      </c>
      <c r="AO12" s="258"/>
    </row>
    <row r="13" spans="1:52" ht="15.75" x14ac:dyDescent="0.25">
      <c r="X13" s="25" t="s">
        <v>162</v>
      </c>
      <c r="Y13" s="153">
        <f>'2.Profile'!Q12</f>
        <v>35</v>
      </c>
      <c r="Z13" s="149">
        <f>'2.Profile'!Q13</f>
        <v>0.1</v>
      </c>
      <c r="AA13" s="149">
        <f>'2.Profile'!Q14</f>
        <v>5</v>
      </c>
      <c r="AD13" s="181" t="str">
        <f>"Total stress, soil above D=" &amp; A20 &amp; "m"</f>
        <v>Total stress, soil above D=m</v>
      </c>
      <c r="AE13" s="182"/>
      <c r="AG13" s="196" t="s">
        <v>153</v>
      </c>
      <c r="AH13" s="197">
        <f>(AH5-AH4)*((AI5+AI4)/2) + (AH6-AH5) * ((AI6+AI5)/2) + (AH7-AH6)*((AI7+AI6)/2) + (AH8-AH7)*((AI8+AI7)/2) + (AH9-AH8)*((AI9+AI8)/2) + (AH10-AH9)*((AI10+AI9)/2) + (AH11-AH10)*((AI11+AI10)/2)</f>
        <v>0</v>
      </c>
      <c r="AI13" s="198" t="s">
        <v>154</v>
      </c>
      <c r="AK13" s="176" t="s">
        <v>204</v>
      </c>
      <c r="AL13" s="249">
        <f>'3.Valsson et al.''24-chart'!X14</f>
        <v>2</v>
      </c>
      <c r="AN13" s="246" t="s">
        <v>213</v>
      </c>
      <c r="AO13" s="246"/>
      <c r="AP13" s="247" t="s">
        <v>242</v>
      </c>
    </row>
    <row r="14" spans="1:52" ht="15.75" x14ac:dyDescent="0.25">
      <c r="Q14" s="25" t="s">
        <v>161</v>
      </c>
      <c r="R14" s="302">
        <f>'2.Profile'!Q3</f>
        <v>0</v>
      </c>
      <c r="T14" s="303">
        <f>'2.Profile'!Q4</f>
        <v>-1E-3</v>
      </c>
      <c r="U14" s="25"/>
      <c r="V14" s="303">
        <f>'2.Profile'!Q5</f>
        <v>-1E-4</v>
      </c>
      <c r="W14" s="303">
        <f>'2.Profile'!Q6</f>
        <v>-1E-4</v>
      </c>
      <c r="X14" s="303">
        <f>'2.Profile'!Q7</f>
        <v>-1E-4</v>
      </c>
      <c r="AD14" s="306" t="s">
        <v>133</v>
      </c>
      <c r="AE14" s="307">
        <f>AH13</f>
        <v>0</v>
      </c>
      <c r="AK14" s="369" t="s">
        <v>252</v>
      </c>
      <c r="AL14" s="369"/>
      <c r="AN14" s="311">
        <f>'3.Valsson et al.''24-chart'!V17</f>
        <v>50</v>
      </c>
      <c r="AO14" s="311"/>
      <c r="AP14" s="312">
        <f>INT(LOWER(General!C25)="yes")</f>
        <v>1</v>
      </c>
    </row>
    <row r="15" spans="1:52" x14ac:dyDescent="0.25">
      <c r="A15" s="359" t="s">
        <v>65</v>
      </c>
      <c r="B15" s="360"/>
      <c r="C15" s="360"/>
      <c r="D15" s="360"/>
      <c r="E15" s="360"/>
      <c r="F15" s="360"/>
      <c r="G15" s="360"/>
      <c r="H15" s="360"/>
      <c r="I15" s="360"/>
      <c r="J15" s="360"/>
      <c r="K15" s="360"/>
      <c r="L15" s="360"/>
      <c r="M15" s="360"/>
      <c r="N15" s="360"/>
      <c r="O15" s="360"/>
      <c r="P15" s="360"/>
      <c r="Q15" s="361"/>
      <c r="R15" s="365" t="s">
        <v>158</v>
      </c>
      <c r="S15" s="366"/>
      <c r="T15" s="366"/>
      <c r="U15" s="366"/>
      <c r="V15" s="366"/>
      <c r="W15" s="366"/>
      <c r="X15" s="366"/>
      <c r="Y15" s="366"/>
      <c r="Z15" s="366"/>
      <c r="AA15" s="367"/>
      <c r="AB15" s="362" t="s">
        <v>159</v>
      </c>
      <c r="AC15" s="363"/>
      <c r="AD15" s="363"/>
      <c r="AE15" s="363"/>
      <c r="AF15" s="363"/>
      <c r="AG15" s="363"/>
      <c r="AH15" s="364"/>
      <c r="AI15" s="314" t="s">
        <v>170</v>
      </c>
      <c r="AJ15" s="315"/>
      <c r="AK15" s="315"/>
      <c r="AL15" s="315"/>
      <c r="AM15" s="315"/>
      <c r="AN15" s="315"/>
      <c r="AO15" s="315"/>
      <c r="AP15" s="315"/>
      <c r="AQ15" s="316"/>
      <c r="AR15" s="141"/>
      <c r="AS15" s="141"/>
      <c r="AT15" s="141"/>
      <c r="AU15" s="141"/>
      <c r="AV15" s="141"/>
      <c r="AW15" s="141"/>
      <c r="AX15" s="141"/>
      <c r="AY15" s="141"/>
      <c r="AZ15" s="141"/>
    </row>
    <row r="16" spans="1:52" ht="60" x14ac:dyDescent="0.25">
      <c r="A16" s="294" t="s">
        <v>66</v>
      </c>
      <c r="B16" s="295" t="s">
        <v>67</v>
      </c>
      <c r="C16" s="295" t="s">
        <v>68</v>
      </c>
      <c r="D16" s="295" t="s">
        <v>69</v>
      </c>
      <c r="E16" s="295" t="s">
        <v>70</v>
      </c>
      <c r="F16" s="295" t="s">
        <v>169</v>
      </c>
      <c r="G16" s="295" t="s">
        <v>47</v>
      </c>
      <c r="H16" s="295" t="s">
        <v>71</v>
      </c>
      <c r="I16" s="295" t="s">
        <v>72</v>
      </c>
      <c r="J16" s="295" t="s">
        <v>73</v>
      </c>
      <c r="K16" s="295" t="s">
        <v>74</v>
      </c>
      <c r="L16" s="295" t="s">
        <v>75</v>
      </c>
      <c r="M16" s="295" t="s">
        <v>76</v>
      </c>
      <c r="N16" s="295" t="s">
        <v>77</v>
      </c>
      <c r="O16" s="295" t="s">
        <v>55</v>
      </c>
      <c r="P16" s="295" t="s">
        <v>78</v>
      </c>
      <c r="Q16" s="296" t="s">
        <v>79</v>
      </c>
      <c r="R16" s="294" t="s">
        <v>66</v>
      </c>
      <c r="S16" s="295" t="s">
        <v>184</v>
      </c>
      <c r="T16" s="295" t="s">
        <v>67</v>
      </c>
      <c r="U16" s="295" t="s">
        <v>164</v>
      </c>
      <c r="V16" s="295" t="s">
        <v>169</v>
      </c>
      <c r="W16" s="295" t="s">
        <v>72</v>
      </c>
      <c r="X16" s="295" t="s">
        <v>77</v>
      </c>
      <c r="Y16" s="295" t="s">
        <v>74</v>
      </c>
      <c r="Z16" s="295" t="s">
        <v>75</v>
      </c>
      <c r="AA16" s="296" t="s">
        <v>76</v>
      </c>
      <c r="AB16" s="308" t="s">
        <v>138</v>
      </c>
      <c r="AC16" s="295" t="s">
        <v>139</v>
      </c>
      <c r="AD16" s="309" t="s">
        <v>107</v>
      </c>
      <c r="AE16" s="295" t="s">
        <v>140</v>
      </c>
      <c r="AF16" s="295" t="s">
        <v>141</v>
      </c>
      <c r="AG16" s="295" t="s">
        <v>127</v>
      </c>
      <c r="AH16" s="296" t="s">
        <v>143</v>
      </c>
      <c r="AI16" s="294" t="s">
        <v>197</v>
      </c>
      <c r="AJ16" s="295" t="s">
        <v>171</v>
      </c>
      <c r="AK16" s="295" t="s">
        <v>177</v>
      </c>
      <c r="AL16" s="295" t="s">
        <v>196</v>
      </c>
      <c r="AM16" s="295" t="s">
        <v>199</v>
      </c>
      <c r="AN16" s="295" t="s">
        <v>212</v>
      </c>
      <c r="AO16" s="295" t="s">
        <v>247</v>
      </c>
      <c r="AP16" s="295" t="s">
        <v>243</v>
      </c>
      <c r="AQ16" s="296" t="s">
        <v>205</v>
      </c>
    </row>
    <row r="17" spans="1:43" ht="18" x14ac:dyDescent="0.25">
      <c r="A17" s="297" t="s">
        <v>30</v>
      </c>
      <c r="B17" s="129" t="s">
        <v>31</v>
      </c>
      <c r="C17" s="129" t="s">
        <v>33</v>
      </c>
      <c r="D17" s="129" t="s">
        <v>37</v>
      </c>
      <c r="E17" s="129" t="s">
        <v>44</v>
      </c>
      <c r="F17" s="129" t="s">
        <v>32</v>
      </c>
      <c r="G17" s="129" t="s">
        <v>42</v>
      </c>
      <c r="H17" s="129" t="s">
        <v>36</v>
      </c>
      <c r="I17" s="129" t="s">
        <v>35</v>
      </c>
      <c r="J17" s="129" t="s">
        <v>38</v>
      </c>
      <c r="K17" s="129" t="s">
        <v>45</v>
      </c>
      <c r="L17" s="129" t="s">
        <v>34</v>
      </c>
      <c r="M17" s="129" t="s">
        <v>40</v>
      </c>
      <c r="N17" s="129" t="s">
        <v>39</v>
      </c>
      <c r="O17" s="266" t="s">
        <v>8</v>
      </c>
      <c r="P17" s="129" t="s">
        <v>46</v>
      </c>
      <c r="Q17" s="233" t="s">
        <v>41</v>
      </c>
      <c r="R17" s="297" t="s">
        <v>30</v>
      </c>
      <c r="S17" s="129" t="s">
        <v>185</v>
      </c>
      <c r="T17" s="129" t="s">
        <v>173</v>
      </c>
      <c r="U17" s="129" t="s">
        <v>33</v>
      </c>
      <c r="V17" s="129" t="s">
        <v>32</v>
      </c>
      <c r="W17" s="129" t="s">
        <v>35</v>
      </c>
      <c r="X17" s="129" t="s">
        <v>39</v>
      </c>
      <c r="Y17" s="129" t="s">
        <v>45</v>
      </c>
      <c r="Z17" s="129" t="s">
        <v>34</v>
      </c>
      <c r="AA17" s="304" t="s">
        <v>40</v>
      </c>
      <c r="AB17" s="297" t="s">
        <v>137</v>
      </c>
      <c r="AC17" s="129" t="s">
        <v>100</v>
      </c>
      <c r="AD17" s="129" t="s">
        <v>104</v>
      </c>
      <c r="AE17" s="129" t="s">
        <v>128</v>
      </c>
      <c r="AF17" s="129" t="s">
        <v>129</v>
      </c>
      <c r="AG17" s="129" t="s">
        <v>130</v>
      </c>
      <c r="AH17" s="304" t="s">
        <v>131</v>
      </c>
      <c r="AI17" s="297" t="s">
        <v>207</v>
      </c>
      <c r="AJ17" s="129" t="s">
        <v>172</v>
      </c>
      <c r="AK17" s="129" t="s">
        <v>176</v>
      </c>
      <c r="AL17" s="129" t="s">
        <v>220</v>
      </c>
      <c r="AM17" s="129" t="s">
        <v>36</v>
      </c>
      <c r="AN17" s="129" t="s">
        <v>244</v>
      </c>
      <c r="AO17" s="129" t="s">
        <v>246</v>
      </c>
      <c r="AP17" s="123"/>
      <c r="AQ17" s="304" t="s">
        <v>206</v>
      </c>
    </row>
    <row r="18" spans="1:43" ht="18" x14ac:dyDescent="0.25">
      <c r="A18" s="297"/>
      <c r="B18" s="129"/>
      <c r="C18" s="129"/>
      <c r="D18" s="129"/>
      <c r="E18" s="129"/>
      <c r="F18" s="129"/>
      <c r="G18" s="129"/>
      <c r="H18" s="129"/>
      <c r="I18" s="129"/>
      <c r="J18" s="129"/>
      <c r="K18" s="129"/>
      <c r="L18" s="129"/>
      <c r="M18" s="129"/>
      <c r="N18" s="129"/>
      <c r="O18" s="123"/>
      <c r="P18" s="123"/>
      <c r="Q18" s="195"/>
      <c r="R18" s="297"/>
      <c r="S18" s="129"/>
      <c r="T18" s="129"/>
      <c r="U18" s="129"/>
      <c r="V18" s="129"/>
      <c r="W18" s="129"/>
      <c r="X18" s="129"/>
      <c r="Y18" s="129"/>
      <c r="Z18" s="129"/>
      <c r="AA18" s="304"/>
      <c r="AB18" s="297"/>
      <c r="AC18" s="129"/>
      <c r="AD18" s="129"/>
      <c r="AE18" s="129" t="s">
        <v>136</v>
      </c>
      <c r="AF18" s="129" t="s">
        <v>142</v>
      </c>
      <c r="AG18" s="129" t="s">
        <v>146</v>
      </c>
      <c r="AH18" s="304" t="s">
        <v>132</v>
      </c>
      <c r="AI18" s="297" t="s">
        <v>208</v>
      </c>
      <c r="AJ18" s="129" t="s">
        <v>209</v>
      </c>
      <c r="AK18" s="313" t="s">
        <v>193</v>
      </c>
      <c r="AL18" s="313" t="s">
        <v>195</v>
      </c>
      <c r="AM18" s="313" t="s">
        <v>249</v>
      </c>
      <c r="AN18" s="368" t="s">
        <v>248</v>
      </c>
      <c r="AO18" s="368"/>
      <c r="AP18" s="123"/>
      <c r="AQ18" s="304" t="s">
        <v>210</v>
      </c>
    </row>
    <row r="19" spans="1:43" ht="15.75" x14ac:dyDescent="0.25">
      <c r="A19" s="298" t="s">
        <v>3</v>
      </c>
      <c r="B19" s="299" t="s">
        <v>9</v>
      </c>
      <c r="C19" s="299" t="s">
        <v>10</v>
      </c>
      <c r="D19" s="229" t="s">
        <v>48</v>
      </c>
      <c r="E19" s="229" t="s">
        <v>81</v>
      </c>
      <c r="F19" s="299" t="s">
        <v>49</v>
      </c>
      <c r="G19" s="299" t="s">
        <v>50</v>
      </c>
      <c r="H19" s="229" t="s">
        <v>51</v>
      </c>
      <c r="I19" s="299" t="s">
        <v>51</v>
      </c>
      <c r="J19" s="299" t="s">
        <v>52</v>
      </c>
      <c r="K19" s="300" t="s">
        <v>224</v>
      </c>
      <c r="L19" s="300" t="s">
        <v>224</v>
      </c>
      <c r="M19" s="300" t="s">
        <v>224</v>
      </c>
      <c r="N19" s="229" t="s">
        <v>51</v>
      </c>
      <c r="O19" s="299" t="s">
        <v>53</v>
      </c>
      <c r="P19" s="299" t="s">
        <v>53</v>
      </c>
      <c r="Q19" s="301" t="s">
        <v>80</v>
      </c>
      <c r="R19" s="298" t="s">
        <v>3</v>
      </c>
      <c r="S19" s="299" t="s">
        <v>9</v>
      </c>
      <c r="T19" s="299" t="s">
        <v>9</v>
      </c>
      <c r="U19" s="299" t="s">
        <v>163</v>
      </c>
      <c r="V19" s="299" t="s">
        <v>49</v>
      </c>
      <c r="W19" s="299" t="s">
        <v>51</v>
      </c>
      <c r="X19" s="229" t="s">
        <v>51</v>
      </c>
      <c r="Y19" s="300" t="s">
        <v>224</v>
      </c>
      <c r="Z19" s="300" t="s">
        <v>224</v>
      </c>
      <c r="AA19" s="305" t="s">
        <v>224</v>
      </c>
      <c r="AB19" s="298" t="s">
        <v>3</v>
      </c>
      <c r="AC19" s="299" t="s">
        <v>7</v>
      </c>
      <c r="AD19" s="299" t="s">
        <v>105</v>
      </c>
      <c r="AE19" s="299" t="s">
        <v>6</v>
      </c>
      <c r="AF19" s="299" t="s">
        <v>6</v>
      </c>
      <c r="AG19" s="299" t="s">
        <v>6</v>
      </c>
      <c r="AH19" s="310" t="s">
        <v>6</v>
      </c>
      <c r="AI19" s="298" t="s">
        <v>6</v>
      </c>
      <c r="AJ19" s="299" t="s">
        <v>53</v>
      </c>
      <c r="AK19" s="299" t="s">
        <v>6</v>
      </c>
      <c r="AL19" s="299" t="s">
        <v>6</v>
      </c>
      <c r="AM19" s="299" t="s">
        <v>198</v>
      </c>
      <c r="AN19" s="299" t="s">
        <v>53</v>
      </c>
      <c r="AO19" s="299" t="s">
        <v>53</v>
      </c>
      <c r="AP19" s="299" t="s">
        <v>239</v>
      </c>
      <c r="AQ19" s="310" t="s">
        <v>198</v>
      </c>
    </row>
    <row r="20" spans="1:43" x14ac:dyDescent="0.25">
      <c r="A20" s="125"/>
      <c r="B20" s="113"/>
      <c r="C20" s="113"/>
      <c r="D20" s="113"/>
      <c r="E20" s="113"/>
      <c r="F20" s="113"/>
      <c r="G20" s="113"/>
      <c r="H20" s="113"/>
      <c r="I20" s="113"/>
      <c r="J20" s="113"/>
      <c r="K20" s="128"/>
      <c r="L20" s="128"/>
      <c r="M20" s="128"/>
      <c r="N20" s="113"/>
      <c r="O20" s="127"/>
      <c r="P20" s="127"/>
      <c r="Q20" s="127"/>
      <c r="R20" s="125">
        <f>A20-$R$14</f>
        <v>0</v>
      </c>
      <c r="S20" s="113">
        <v>0</v>
      </c>
      <c r="T20" s="113">
        <f>B20 - $T$14 + S20</f>
        <v>1E-3</v>
      </c>
      <c r="U20" s="113" t="e">
        <f>1000/C20</f>
        <v>#DIV/0!</v>
      </c>
      <c r="V20" s="113">
        <f>F20 - $V$14</f>
        <v>1E-4</v>
      </c>
      <c r="W20" s="113">
        <f>I20-$W$14</f>
        <v>1E-4</v>
      </c>
      <c r="X20" s="113">
        <f>N20-$X$14</f>
        <v>1E-4</v>
      </c>
      <c r="Y20" s="128">
        <f>MAX(INT(V20&gt;$Y$13),K20)</f>
        <v>0</v>
      </c>
      <c r="Z20" s="128">
        <f>MAX(INT(W20&gt;$Z$13),L20)</f>
        <v>0</v>
      </c>
      <c r="AA20" s="128">
        <f>MAX(INT(X20&gt;$AA$13),M20)</f>
        <v>0</v>
      </c>
      <c r="AB20" s="112">
        <f>A20-A20</f>
        <v>0</v>
      </c>
      <c r="AC20" s="113">
        <f>Interpolation!I20</f>
        <v>17</v>
      </c>
      <c r="AD20" s="113"/>
      <c r="AE20" s="113">
        <f>AE6 + AE14 + AD20</f>
        <v>0</v>
      </c>
      <c r="AF20" s="113">
        <f t="shared" ref="AF20:AF21" si="0">IF(A20&lt;$AE$5,0,(A20-$AE$5)*$AE$4)</f>
        <v>0</v>
      </c>
      <c r="AG20" s="113">
        <f>Interpolation!E20</f>
        <v>0</v>
      </c>
      <c r="AH20" s="113">
        <f>AE20-AG20</f>
        <v>0</v>
      </c>
      <c r="AI20" s="113">
        <f>T20 / $AL$3</f>
        <v>0.3918865942552055</v>
      </c>
      <c r="AJ20" s="113">
        <f>AI20 / MAX(AH20,0.01)</f>
        <v>39.188659425520548</v>
      </c>
      <c r="AK20" s="113">
        <f ca="1">IFERROR(AVERAGE(OFFSET(AJ20,-$AM$5,0):OFFSET(AJ20,$AM$5,0)),$K$12)</f>
        <v>1E-10</v>
      </c>
      <c r="AL20" s="113">
        <f ca="1">IFERROR(_xlfn.STDEV.S(OFFSET(T20,-$AM$5,0):OFFSET(T20,$AM$5,0)),K12)</f>
        <v>1E-10</v>
      </c>
      <c r="AM20" s="113">
        <f ca="1">(1/$AL$9)  *(  ATAN2(LOG10(AK20/$AL$10),LOG10(AL20/$AL$11))  +  $AL$12*$AL$13)</f>
        <v>-431.63563801905866</v>
      </c>
      <c r="AN20" s="211">
        <f ca="1">INT(AM20&gt;$AN$14)</f>
        <v>0</v>
      </c>
      <c r="AO20" s="254">
        <f ca="1">INT(NOT(AN20))</f>
        <v>1</v>
      </c>
      <c r="AP20" s="128">
        <f>MAX(Z20:AA20)*$AP$14</f>
        <v>0</v>
      </c>
    </row>
    <row r="21" spans="1:43" x14ac:dyDescent="0.25">
      <c r="A21" s="125"/>
      <c r="B21" s="113"/>
      <c r="C21" s="113"/>
      <c r="D21" s="113"/>
      <c r="E21" s="113"/>
      <c r="F21" s="113"/>
      <c r="G21" s="113"/>
      <c r="H21" s="113"/>
      <c r="I21" s="113"/>
      <c r="J21" s="113"/>
      <c r="K21" s="128"/>
      <c r="L21" s="128"/>
      <c r="M21" s="128"/>
      <c r="N21" s="113"/>
      <c r="O21" s="127"/>
      <c r="P21" s="127"/>
      <c r="Q21" s="127"/>
      <c r="R21" s="125">
        <f>A21-$R$14</f>
        <v>0</v>
      </c>
      <c r="S21" s="113">
        <f>S20</f>
        <v>0</v>
      </c>
      <c r="T21" s="113">
        <f>B21 - $T$14 + S21</f>
        <v>1E-3</v>
      </c>
      <c r="U21" s="113" t="e">
        <f t="shared" ref="U21" si="1">1000/C21</f>
        <v>#DIV/0!</v>
      </c>
      <c r="V21" s="113">
        <f>F21 - $V$14</f>
        <v>1E-4</v>
      </c>
      <c r="W21" s="113">
        <f>I21-$W$14</f>
        <v>1E-4</v>
      </c>
      <c r="X21" s="113">
        <f t="shared" ref="X21" si="2">N21-$X$14</f>
        <v>1E-4</v>
      </c>
      <c r="Y21" s="128">
        <f>MAX(INT(V21&gt;$Y$13),K21)</f>
        <v>0</v>
      </c>
      <c r="Z21" s="128">
        <f t="shared" ref="Z21" si="3">MAX(INT(W21&gt;$Z$13),L21)</f>
        <v>0</v>
      </c>
      <c r="AA21" s="128">
        <f t="shared" ref="AA21" si="4">MAX(INT(X21&gt;$AA$13),M21)</f>
        <v>0</v>
      </c>
      <c r="AB21" s="112">
        <f t="shared" ref="AB21" si="5">A21-A20</f>
        <v>0</v>
      </c>
      <c r="AC21" s="113">
        <f>Interpolation!I21</f>
        <v>17</v>
      </c>
      <c r="AD21" s="113"/>
      <c r="AE21" s="113">
        <f>AE20+AB21*AC21+AD21</f>
        <v>0</v>
      </c>
      <c r="AF21" s="113">
        <f t="shared" si="0"/>
        <v>0</v>
      </c>
      <c r="AG21" s="113">
        <f>Interpolation!E21</f>
        <v>0</v>
      </c>
      <c r="AH21" s="113">
        <f>AE21-AG21</f>
        <v>0</v>
      </c>
      <c r="AI21" s="113">
        <f>T21 / $AL$3</f>
        <v>0.3918865942552055</v>
      </c>
      <c r="AJ21" s="113">
        <f>AI21 / MAX(AH21,0.01)</f>
        <v>39.188659425520548</v>
      </c>
      <c r="AK21" s="113">
        <f ca="1">IFERROR(AVERAGE(OFFSET(AJ21,-$AM$5,0):OFFSET(AJ21,$AM$5,0)),K12)</f>
        <v>1E-10</v>
      </c>
      <c r="AL21" s="113">
        <f ca="1">IFERROR(_xlfn.STDEV.S(OFFSET(T21,-$AM$5,0):OFFSET(T21,$AM$5,0)),K12)</f>
        <v>1E-10</v>
      </c>
      <c r="AM21" s="113">
        <f ca="1">(1/$AL$9)  *(  ATAN2(LOG10(AK21/$AL$10),LOG10(AL21/$AL$11))  +  $AL$12*$AL$13)</f>
        <v>-431.63563801905866</v>
      </c>
      <c r="AN21" s="211">
        <f ca="1">INT(AM21&gt;$AN$14)</f>
        <v>0</v>
      </c>
      <c r="AO21" s="254">
        <f ca="1">INT(NOT(AN21))</f>
        <v>1</v>
      </c>
      <c r="AP21" s="128">
        <f>MAX(Z21:AA21)*$AP$14</f>
        <v>0</v>
      </c>
    </row>
    <row r="22" spans="1:43" x14ac:dyDescent="0.25">
      <c r="AM22" s="113"/>
    </row>
    <row r="23" spans="1:43" x14ac:dyDescent="0.25">
      <c r="AM23" s="113"/>
    </row>
    <row r="24" spans="1:43" x14ac:dyDescent="0.25">
      <c r="AM24" s="113"/>
    </row>
    <row r="25" spans="1:43" x14ac:dyDescent="0.25">
      <c r="AM25" s="113"/>
    </row>
    <row r="26" spans="1:43" x14ac:dyDescent="0.25">
      <c r="AM26" s="113"/>
    </row>
    <row r="27" spans="1:43" x14ac:dyDescent="0.25">
      <c r="AM27" s="113"/>
    </row>
    <row r="28" spans="1:43" x14ac:dyDescent="0.25">
      <c r="AM28" s="113"/>
    </row>
    <row r="29" spans="1:43" x14ac:dyDescent="0.25">
      <c r="AM29" s="113"/>
    </row>
    <row r="30" spans="1:43" x14ac:dyDescent="0.25">
      <c r="AM30" s="113"/>
    </row>
  </sheetData>
  <mergeCells count="5">
    <mergeCell ref="A15:Q15"/>
    <mergeCell ref="AB15:AH15"/>
    <mergeCell ref="R15:AA15"/>
    <mergeCell ref="AN18:AO18"/>
    <mergeCell ref="AK14:AL14"/>
  </mergeCells>
  <phoneticPr fontId="46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53B81-1804-4285-B6FB-7F36A4262585}">
  <sheetPr codeName="S_98_interpolate">
    <tabColor rgb="FFFF9600"/>
  </sheetPr>
  <dimension ref="A2:I120"/>
  <sheetViews>
    <sheetView zoomScaleNormal="100" workbookViewId="0"/>
  </sheetViews>
  <sheetFormatPr defaultRowHeight="15" x14ac:dyDescent="0.25"/>
  <cols>
    <col min="2" max="2" width="1.7109375" customWidth="1"/>
    <col min="3" max="4" width="9.7109375" customWidth="1"/>
    <col min="5" max="5" width="11.7109375" customWidth="1"/>
    <col min="6" max="6" width="1.7109375" customWidth="1"/>
    <col min="7" max="8" width="9.7109375" customWidth="1"/>
    <col min="9" max="9" width="11.7109375" customWidth="1"/>
    <col min="10" max="10" width="1.7109375" customWidth="1"/>
    <col min="11" max="12" width="9.7109375" customWidth="1"/>
    <col min="13" max="13" width="11.7109375" customWidth="1"/>
    <col min="14" max="14" width="1.7109375" customWidth="1"/>
    <col min="15" max="16" width="9.7109375" customWidth="1"/>
    <col min="17" max="17" width="11.7109375" customWidth="1"/>
    <col min="18" max="18" width="1.7109375" customWidth="1"/>
    <col min="19" max="20" width="9.7109375" customWidth="1"/>
    <col min="21" max="21" width="11.7109375" customWidth="1"/>
    <col min="22" max="22" width="1.7109375" customWidth="1"/>
  </cols>
  <sheetData>
    <row r="2" spans="3:9" x14ac:dyDescent="0.25">
      <c r="C2" s="140" t="s">
        <v>102</v>
      </c>
      <c r="D2" s="140">
        <f>General!C22</f>
        <v>10</v>
      </c>
      <c r="E2" s="140" t="str">
        <f>General!D22</f>
        <v>(kN/m3)</v>
      </c>
    </row>
    <row r="12" spans="3:9" x14ac:dyDescent="0.25">
      <c r="C12" s="126"/>
    </row>
    <row r="15" spans="3:9" x14ac:dyDescent="0.25">
      <c r="C15" s="355" t="s">
        <v>93</v>
      </c>
      <c r="D15" s="355"/>
      <c r="E15" s="355"/>
      <c r="G15" s="355" t="s">
        <v>94</v>
      </c>
      <c r="H15" s="355"/>
      <c r="I15" s="355"/>
    </row>
    <row r="16" spans="3:9" x14ac:dyDescent="0.25">
      <c r="C16" s="370" t="s">
        <v>95</v>
      </c>
      <c r="D16" s="370"/>
      <c r="E16" s="139" t="s">
        <v>96</v>
      </c>
      <c r="G16" s="370" t="s">
        <v>95</v>
      </c>
      <c r="H16" s="370"/>
      <c r="I16" s="135" t="s">
        <v>96</v>
      </c>
    </row>
    <row r="17" spans="1:9" x14ac:dyDescent="0.25">
      <c r="A17" s="136" t="s">
        <v>4</v>
      </c>
      <c r="C17" s="136" t="s">
        <v>4</v>
      </c>
      <c r="D17" s="137" t="s">
        <v>97</v>
      </c>
      <c r="E17" s="137" t="s">
        <v>97</v>
      </c>
      <c r="G17" s="136" t="s">
        <v>4</v>
      </c>
      <c r="H17" s="137" t="s">
        <v>97</v>
      </c>
      <c r="I17" s="137" t="s">
        <v>97</v>
      </c>
    </row>
    <row r="18" spans="1:9" ht="15.75" x14ac:dyDescent="0.3">
      <c r="A18" s="137" t="s">
        <v>98</v>
      </c>
      <c r="C18" s="137" t="s">
        <v>98</v>
      </c>
      <c r="D18" s="137" t="s">
        <v>99</v>
      </c>
      <c r="E18" s="137" t="s">
        <v>99</v>
      </c>
      <c r="G18" s="137" t="s">
        <v>98</v>
      </c>
      <c r="H18" s="137" t="s">
        <v>100</v>
      </c>
      <c r="I18" s="137" t="s">
        <v>100</v>
      </c>
    </row>
    <row r="19" spans="1:9" ht="16.5" x14ac:dyDescent="0.25">
      <c r="A19" s="137" t="s">
        <v>3</v>
      </c>
      <c r="C19" s="137" t="s">
        <v>3</v>
      </c>
      <c r="D19" s="137" t="s">
        <v>6</v>
      </c>
      <c r="E19" s="137" t="s">
        <v>6</v>
      </c>
      <c r="G19" s="137" t="s">
        <v>3</v>
      </c>
      <c r="H19" s="137" t="s">
        <v>101</v>
      </c>
      <c r="I19" s="137" t="s">
        <v>101</v>
      </c>
    </row>
    <row r="20" spans="1:9" x14ac:dyDescent="0.25">
      <c r="A20" s="112">
        <f>Calculations!A20</f>
        <v>0</v>
      </c>
      <c r="C20" s="138">
        <f>'1.Stresses'!P5</f>
        <v>0</v>
      </c>
      <c r="D20" s="138">
        <f>'1.Stresses'!Q5</f>
        <v>0</v>
      </c>
      <c r="E20" s="112">
        <f>IF(A20&lt;=MIN($C$20:$C$120),LOOKUP(MIN($C$20:$C$120),$C$20:$C$120,$D$20:$D$120),IF(A20&gt;MAX($C$20:$C$120),LOOKUP(MAX($C$20:$C$120),$C$20:$C$120,$D$20:$D$120)+(A20-MAX($C$20:$C$120))*$D$2,LOOKUP(A20,$C$20:$C$120,$D$20:$D$120)+(LOOKUP(A20,$C$20:$C$120,$D$21:$D$121)-LOOKUP(A20,$C$20:$C$120,$D$20:$D$120))/(LOOKUP(A20,$C$20:$C$120,$C$21:$C$121)-LOOKUP(A20,$C$20:$C$120))*(A20-LOOKUP(A20,$C$20:$C$120))))</f>
        <v>0</v>
      </c>
      <c r="F20" s="25"/>
      <c r="G20" s="138">
        <f>'1.Stresses'!T5</f>
        <v>0</v>
      </c>
      <c r="H20" s="112">
        <f>'1.Stresses'!U5</f>
        <v>17</v>
      </c>
      <c r="I20" s="112">
        <f>IF(A20&lt;=MIN($G$20:$G$120),LOOKUP(MIN($G$20:$G$120),$G$20:$G$120,$H$20:$H$120),IF(A20&gt;MAX($G$20:$G$120),LOOKUP(MAX($G$20:$G$120),$G$20:$G$120,$H$20:$H$120),LOOKUP(A20,$G$20:$G$120,$H$20:$H$120)+(LOOKUP(A20,$G$20:$G$120,$H$21:$H$121)-LOOKUP(A20,$G$20:$G$120,$H$20:$H$120))/(LOOKUP(A20,$G$20:$G$120,$G$21:$G$121)-LOOKUP(A20,$G$20:$G$120))*(A20-LOOKUP(A20,$G$20:$G$120))))</f>
        <v>17</v>
      </c>
    </row>
    <row r="21" spans="1:9" x14ac:dyDescent="0.25">
      <c r="A21" s="112">
        <f>Calculations!A21</f>
        <v>0</v>
      </c>
      <c r="C21" s="112">
        <f>IF(NOT(ISBLANK('1.Stresses'!P6)),'1.Stresses'!P6,C20)</f>
        <v>0</v>
      </c>
      <c r="D21" s="112">
        <f>IF(NOT(ISBLANK('1.Stresses'!Q6)),'1.Stresses'!Q6,D20)</f>
        <v>0</v>
      </c>
      <c r="E21" s="112">
        <f>IF(A21&lt;=MIN($C$20:$C$120),LOOKUP(MIN($C$20:$C$120),$C$20:$C$120,$D$20:$D$120),IF(A21&gt;MAX($C$20:$C$120),LOOKUP(MAX($C$20:$C$120),$C$20:$C$120,$D$20:$D$120)+(A21-MAX($C$20:$C$120))*$D$2,LOOKUP(A21,$C$20:$C$120,$D$20:$D$120)+(LOOKUP(A21,$C$20:$C$120,$D$21:$D$121)-LOOKUP(A21,$C$20:$C$120,$D$20:$D$120))/(LOOKUP(A21,$C$20:$C$120,$C$21:$C$121)-LOOKUP(A21,$C$20:$C$120))*(A21-LOOKUP(A21,$C$20:$C$120))))</f>
        <v>0</v>
      </c>
      <c r="F21" s="25"/>
      <c r="G21" s="112">
        <f>IF(NOT(ISBLANK('1.Stresses'!T6)),'1.Stresses'!T6,G20)</f>
        <v>0</v>
      </c>
      <c r="H21" s="112">
        <f>IF(NOT(ISBLANK('1.Stresses'!U6)),'1.Stresses'!U6,H20)</f>
        <v>17</v>
      </c>
      <c r="I21" s="112">
        <f>IF(A21&lt;=MIN($G$20:$G$120),LOOKUP(MIN($G$20:$G$120),$G$20:$G$120,$H$20:$H$120),IF(A21&gt;MAX($G$20:$G$120),LOOKUP(MAX($G$20:$G$120),$G$20:$G$120,$H$20:$H$120),LOOKUP(A21,$G$20:$G$120,$H$20:$H$120)+(LOOKUP(A21,$G$20:$G$120,$H$21:$H$121)-LOOKUP(A21,$G$20:$G$120,$H$20:$H$120))/(LOOKUP(A21,$G$20:$G$120,$G$21:$G$121)-LOOKUP(A21,$G$20:$G$120))*(A21-LOOKUP(A21,$G$20:$G$120))))</f>
        <v>17</v>
      </c>
    </row>
    <row r="22" spans="1:9" x14ac:dyDescent="0.25">
      <c r="C22" s="112">
        <f>IF(NOT(ISBLANK('1.Stresses'!P7)),'1.Stresses'!P7,C21)</f>
        <v>0</v>
      </c>
      <c r="D22" s="112">
        <f>IF(NOT(ISBLANK('1.Stresses'!Q7)),'1.Stresses'!Q7,D21)</f>
        <v>0</v>
      </c>
      <c r="G22" s="112">
        <f>IF(NOT(ISBLANK('1.Stresses'!T7)),'1.Stresses'!T7,G21)</f>
        <v>0</v>
      </c>
      <c r="H22" s="112">
        <f>IF(NOT(ISBLANK('1.Stresses'!U7)),'1.Stresses'!U7,H21)</f>
        <v>17</v>
      </c>
    </row>
    <row r="23" spans="1:9" x14ac:dyDescent="0.25">
      <c r="C23" s="112">
        <f>IF(NOT(ISBLANK('1.Stresses'!P8)),'1.Stresses'!P8,C22)</f>
        <v>0</v>
      </c>
      <c r="D23" s="112">
        <f>IF(NOT(ISBLANK('1.Stresses'!Q8)),'1.Stresses'!Q8,D22)</f>
        <v>0</v>
      </c>
      <c r="G23" s="112">
        <f>IF(NOT(ISBLANK('1.Stresses'!T8)),'1.Stresses'!T8,G22)</f>
        <v>0</v>
      </c>
      <c r="H23" s="112">
        <f>IF(NOT(ISBLANK('1.Stresses'!U8)),'1.Stresses'!U8,H22)</f>
        <v>17</v>
      </c>
    </row>
    <row r="24" spans="1:9" x14ac:dyDescent="0.25">
      <c r="C24" s="112">
        <f>IF(NOT(ISBLANK('1.Stresses'!P9)),'1.Stresses'!P9,C23)</f>
        <v>0</v>
      </c>
      <c r="D24" s="112">
        <f>IF(NOT(ISBLANK('1.Stresses'!Q9)),'1.Stresses'!Q9,D23)</f>
        <v>0</v>
      </c>
      <c r="G24" s="112">
        <f>IF(NOT(ISBLANK('1.Stresses'!T9)),'1.Stresses'!T9,G23)</f>
        <v>0</v>
      </c>
      <c r="H24" s="112">
        <f>IF(NOT(ISBLANK('1.Stresses'!U9)),'1.Stresses'!U9,H23)</f>
        <v>17</v>
      </c>
    </row>
    <row r="25" spans="1:9" x14ac:dyDescent="0.25">
      <c r="C25" s="112">
        <f>IF(NOT(ISBLANK('1.Stresses'!P10)),'1.Stresses'!P10,C24)</f>
        <v>0</v>
      </c>
      <c r="D25" s="112">
        <f>IF(NOT(ISBLANK('1.Stresses'!Q10)),'1.Stresses'!Q10,D24)</f>
        <v>0</v>
      </c>
      <c r="G25" s="112">
        <f>IF(NOT(ISBLANK('1.Stresses'!T10)),'1.Stresses'!T10,G24)</f>
        <v>0</v>
      </c>
      <c r="H25" s="112">
        <f>IF(NOT(ISBLANK('1.Stresses'!U10)),'1.Stresses'!U10,H24)</f>
        <v>17</v>
      </c>
    </row>
    <row r="26" spans="1:9" x14ac:dyDescent="0.25">
      <c r="C26" s="112">
        <f>IF(NOT(ISBLANK('1.Stresses'!P11)),'1.Stresses'!P11,C25)</f>
        <v>0</v>
      </c>
      <c r="D26" s="112">
        <f>IF(NOT(ISBLANK('1.Stresses'!Q11)),'1.Stresses'!Q11,D25)</f>
        <v>0</v>
      </c>
      <c r="G26" s="112">
        <f>IF(NOT(ISBLANK('1.Stresses'!T11)),'1.Stresses'!T11,G25)</f>
        <v>0</v>
      </c>
      <c r="H26" s="112">
        <f>IF(NOT(ISBLANK('1.Stresses'!U11)),'1.Stresses'!U11,H25)</f>
        <v>17</v>
      </c>
    </row>
    <row r="27" spans="1:9" x14ac:dyDescent="0.25">
      <c r="C27" s="112">
        <f>IF(NOT(ISBLANK('1.Stresses'!P12)),'1.Stresses'!P12,C26)</f>
        <v>0</v>
      </c>
      <c r="D27" s="112">
        <f>IF(NOT(ISBLANK('1.Stresses'!Q12)),'1.Stresses'!Q12,D26)</f>
        <v>0</v>
      </c>
      <c r="G27" s="112">
        <f>IF(NOT(ISBLANK('1.Stresses'!T12)),'1.Stresses'!T12,G26)</f>
        <v>0</v>
      </c>
      <c r="H27" s="112">
        <f>IF(NOT(ISBLANK('1.Stresses'!U12)),'1.Stresses'!U12,H26)</f>
        <v>17</v>
      </c>
    </row>
    <row r="28" spans="1:9" x14ac:dyDescent="0.25">
      <c r="C28" s="112">
        <f>IF(NOT(ISBLANK('1.Stresses'!P13)),'1.Stresses'!P13,C27)</f>
        <v>0</v>
      </c>
      <c r="D28" s="112">
        <f>IF(NOT(ISBLANK('1.Stresses'!Q13)),'1.Stresses'!Q13,D27)</f>
        <v>0</v>
      </c>
      <c r="G28" s="112">
        <f>IF(NOT(ISBLANK('1.Stresses'!T13)),'1.Stresses'!T13,G27)</f>
        <v>0</v>
      </c>
      <c r="H28" s="112">
        <f>IF(NOT(ISBLANK('1.Stresses'!U13)),'1.Stresses'!U13,H27)</f>
        <v>17</v>
      </c>
    </row>
    <row r="29" spans="1:9" x14ac:dyDescent="0.25">
      <c r="C29" s="112">
        <f>IF(NOT(ISBLANK('1.Stresses'!P14)),'1.Stresses'!P14,C28)</f>
        <v>0</v>
      </c>
      <c r="D29" s="112">
        <f>IF(NOT(ISBLANK('1.Stresses'!Q14)),'1.Stresses'!Q14,D28)</f>
        <v>0</v>
      </c>
      <c r="G29" s="112">
        <f>IF(NOT(ISBLANK('1.Stresses'!T14)),'1.Stresses'!T14,G28)</f>
        <v>0</v>
      </c>
      <c r="H29" s="112">
        <f>IF(NOT(ISBLANK('1.Stresses'!U14)),'1.Stresses'!U14,H28)</f>
        <v>17</v>
      </c>
    </row>
    <row r="30" spans="1:9" x14ac:dyDescent="0.25">
      <c r="C30" s="112">
        <f>IF(NOT(ISBLANK('1.Stresses'!P15)),'1.Stresses'!P15,C29)</f>
        <v>0</v>
      </c>
      <c r="D30" s="112">
        <f>IF(NOT(ISBLANK('1.Stresses'!Q15)),'1.Stresses'!Q15,D29)</f>
        <v>0</v>
      </c>
      <c r="G30" s="112">
        <f>IF(NOT(ISBLANK('1.Stresses'!T15)),'1.Stresses'!T15,G29)</f>
        <v>0</v>
      </c>
      <c r="H30" s="112">
        <f>IF(NOT(ISBLANK('1.Stresses'!U15)),'1.Stresses'!U15,H29)</f>
        <v>17</v>
      </c>
    </row>
    <row r="31" spans="1:9" x14ac:dyDescent="0.25">
      <c r="C31" s="112">
        <f>IF(NOT(ISBLANK('1.Stresses'!P16)),'1.Stresses'!P16,C30)</f>
        <v>0</v>
      </c>
      <c r="D31" s="112">
        <f>IF(NOT(ISBLANK('1.Stresses'!Q16)),'1.Stresses'!Q16,D30)</f>
        <v>0</v>
      </c>
      <c r="G31" s="112">
        <f>IF(NOT(ISBLANK('1.Stresses'!T16)),'1.Stresses'!T16,G30)</f>
        <v>0</v>
      </c>
      <c r="H31" s="112">
        <f>IF(NOT(ISBLANK('1.Stresses'!U16)),'1.Stresses'!U16,H30)</f>
        <v>17</v>
      </c>
    </row>
    <row r="32" spans="1:9" x14ac:dyDescent="0.25">
      <c r="C32" s="112">
        <f>IF(NOT(ISBLANK('1.Stresses'!P17)),'1.Stresses'!P17,C31)</f>
        <v>0</v>
      </c>
      <c r="D32" s="112">
        <f>IF(NOT(ISBLANK('1.Stresses'!Q17)),'1.Stresses'!Q17,D31)</f>
        <v>0</v>
      </c>
      <c r="G32" s="112">
        <f>IF(NOT(ISBLANK('1.Stresses'!T17)),'1.Stresses'!T17,G31)</f>
        <v>0</v>
      </c>
      <c r="H32" s="112">
        <f>IF(NOT(ISBLANK('1.Stresses'!U17)),'1.Stresses'!U17,H31)</f>
        <v>17</v>
      </c>
    </row>
    <row r="33" spans="3:8" x14ac:dyDescent="0.25">
      <c r="C33" s="112">
        <f>IF(NOT(ISBLANK('1.Stresses'!P18)),'1.Stresses'!P18,C32)</f>
        <v>0</v>
      </c>
      <c r="D33" s="112">
        <f>IF(NOT(ISBLANK('1.Stresses'!Q18)),'1.Stresses'!Q18,D32)</f>
        <v>0</v>
      </c>
      <c r="G33" s="112">
        <f>IF(NOT(ISBLANK('1.Stresses'!T18)),'1.Stresses'!T18,G32)</f>
        <v>0</v>
      </c>
      <c r="H33" s="112">
        <f>IF(NOT(ISBLANK('1.Stresses'!U18)),'1.Stresses'!U18,H32)</f>
        <v>17</v>
      </c>
    </row>
    <row r="34" spans="3:8" x14ac:dyDescent="0.25">
      <c r="C34" s="112">
        <f>IF(NOT(ISBLANK('1.Stresses'!P19)),'1.Stresses'!P19,C33)</f>
        <v>0</v>
      </c>
      <c r="D34" s="112">
        <f>IF(NOT(ISBLANK('1.Stresses'!Q19)),'1.Stresses'!Q19,D33)</f>
        <v>0</v>
      </c>
      <c r="G34" s="112">
        <f>IF(NOT(ISBLANK('1.Stresses'!T19)),'1.Stresses'!T19,G33)</f>
        <v>0</v>
      </c>
      <c r="H34" s="112">
        <f>IF(NOT(ISBLANK('1.Stresses'!U19)),'1.Stresses'!U19,H33)</f>
        <v>17</v>
      </c>
    </row>
    <row r="35" spans="3:8" x14ac:dyDescent="0.25">
      <c r="C35" s="112">
        <f>IF(NOT(ISBLANK('1.Stresses'!P20)),'1.Stresses'!P20,C34)</f>
        <v>0</v>
      </c>
      <c r="D35" s="112">
        <f>IF(NOT(ISBLANK('1.Stresses'!Q20)),'1.Stresses'!Q20,D34)</f>
        <v>0</v>
      </c>
      <c r="G35" s="112">
        <f>IF(NOT(ISBLANK('1.Stresses'!T20)),'1.Stresses'!T20,G34)</f>
        <v>0</v>
      </c>
      <c r="H35" s="112">
        <f>IF(NOT(ISBLANK('1.Stresses'!U20)),'1.Stresses'!U20,H34)</f>
        <v>17</v>
      </c>
    </row>
    <row r="36" spans="3:8" x14ac:dyDescent="0.25">
      <c r="C36" s="112">
        <f>IF(NOT(ISBLANK('1.Stresses'!P21)),'1.Stresses'!P21,C35)</f>
        <v>0</v>
      </c>
      <c r="D36" s="112">
        <f>IF(NOT(ISBLANK('1.Stresses'!Q21)),'1.Stresses'!Q21,D35)</f>
        <v>0</v>
      </c>
      <c r="G36" s="112">
        <f>IF(NOT(ISBLANK('1.Stresses'!T21)),'1.Stresses'!T21,G35)</f>
        <v>0</v>
      </c>
      <c r="H36" s="112">
        <f>IF(NOT(ISBLANK('1.Stresses'!U21)),'1.Stresses'!U21,H35)</f>
        <v>17</v>
      </c>
    </row>
    <row r="37" spans="3:8" x14ac:dyDescent="0.25">
      <c r="C37" s="112">
        <f>IF(NOT(ISBLANK('1.Stresses'!P22)),'1.Stresses'!P22,C36)</f>
        <v>0</v>
      </c>
      <c r="D37" s="112">
        <f>IF(NOT(ISBLANK('1.Stresses'!Q22)),'1.Stresses'!Q22,D36)</f>
        <v>0</v>
      </c>
      <c r="G37" s="112">
        <f>IF(NOT(ISBLANK('1.Stresses'!T22)),'1.Stresses'!T22,G36)</f>
        <v>0</v>
      </c>
      <c r="H37" s="112">
        <f>IF(NOT(ISBLANK('1.Stresses'!U22)),'1.Stresses'!U22,H36)</f>
        <v>17</v>
      </c>
    </row>
    <row r="38" spans="3:8" x14ac:dyDescent="0.25">
      <c r="C38" s="112">
        <f>IF(NOT(ISBLANK('1.Stresses'!P23)),'1.Stresses'!P23,C37)</f>
        <v>0</v>
      </c>
      <c r="D38" s="112">
        <f>IF(NOT(ISBLANK('1.Stresses'!Q23)),'1.Stresses'!Q23,D37)</f>
        <v>0</v>
      </c>
      <c r="G38" s="112">
        <f>IF(NOT(ISBLANK('1.Stresses'!T23)),'1.Stresses'!T23,G37)</f>
        <v>0</v>
      </c>
      <c r="H38" s="112">
        <f>IF(NOT(ISBLANK('1.Stresses'!U23)),'1.Stresses'!U23,H37)</f>
        <v>17</v>
      </c>
    </row>
    <row r="39" spans="3:8" x14ac:dyDescent="0.25">
      <c r="C39" s="112">
        <f>IF(NOT(ISBLANK('1.Stresses'!P24)),'1.Stresses'!P24,C38)</f>
        <v>0</v>
      </c>
      <c r="D39" s="112">
        <f>IF(NOT(ISBLANK('1.Stresses'!Q24)),'1.Stresses'!Q24,D38)</f>
        <v>0</v>
      </c>
      <c r="G39" s="112">
        <f>IF(NOT(ISBLANK('1.Stresses'!T24)),'1.Stresses'!T24,G38)</f>
        <v>0</v>
      </c>
      <c r="H39" s="112">
        <f>IF(NOT(ISBLANK('1.Stresses'!U24)),'1.Stresses'!U24,H38)</f>
        <v>17</v>
      </c>
    </row>
    <row r="40" spans="3:8" x14ac:dyDescent="0.25">
      <c r="C40" s="112">
        <f>IF(NOT(ISBLANK('1.Stresses'!P25)),'1.Stresses'!P25,C39)</f>
        <v>0</v>
      </c>
      <c r="D40" s="112">
        <f>IF(NOT(ISBLANK('1.Stresses'!Q25)),'1.Stresses'!Q25,D39)</f>
        <v>0</v>
      </c>
      <c r="G40" s="112">
        <f>IF(NOT(ISBLANK('1.Stresses'!T25)),'1.Stresses'!T25,G39)</f>
        <v>0</v>
      </c>
      <c r="H40" s="112">
        <f>IF(NOT(ISBLANK('1.Stresses'!U25)),'1.Stresses'!U25,H39)</f>
        <v>17</v>
      </c>
    </row>
    <row r="41" spans="3:8" x14ac:dyDescent="0.25">
      <c r="C41" s="112">
        <f>IF(NOT(ISBLANK('1.Stresses'!P26)),'1.Stresses'!P26,C40)</f>
        <v>0</v>
      </c>
      <c r="D41" s="112">
        <f>IF(NOT(ISBLANK('1.Stresses'!Q26)),'1.Stresses'!Q26,D40)</f>
        <v>0</v>
      </c>
      <c r="G41" s="112">
        <f>IF(NOT(ISBLANK('1.Stresses'!T26)),'1.Stresses'!T26,G40)</f>
        <v>0</v>
      </c>
      <c r="H41" s="112">
        <f>IF(NOT(ISBLANK('1.Stresses'!U26)),'1.Stresses'!U26,H40)</f>
        <v>17</v>
      </c>
    </row>
    <row r="42" spans="3:8" x14ac:dyDescent="0.25">
      <c r="C42" s="112">
        <f>IF(NOT(ISBLANK('1.Stresses'!P27)),'1.Stresses'!P27,C41)</f>
        <v>0</v>
      </c>
      <c r="D42" s="112">
        <f>IF(NOT(ISBLANK('1.Stresses'!Q27)),'1.Stresses'!Q27,D41)</f>
        <v>0</v>
      </c>
      <c r="G42" s="112">
        <f>IF(NOT(ISBLANK('1.Stresses'!T27)),'1.Stresses'!T27,G41)</f>
        <v>0</v>
      </c>
      <c r="H42" s="112">
        <f>IF(NOT(ISBLANK('1.Stresses'!U27)),'1.Stresses'!U27,H41)</f>
        <v>17</v>
      </c>
    </row>
    <row r="43" spans="3:8" x14ac:dyDescent="0.25">
      <c r="C43" s="112">
        <f>IF(NOT(ISBLANK('1.Stresses'!P28)),'1.Stresses'!P28,C42)</f>
        <v>0</v>
      </c>
      <c r="D43" s="112">
        <f>IF(NOT(ISBLANK('1.Stresses'!Q28)),'1.Stresses'!Q28,D42)</f>
        <v>0</v>
      </c>
      <c r="G43" s="112">
        <f>IF(NOT(ISBLANK('1.Stresses'!T28)),'1.Stresses'!T28,G42)</f>
        <v>0</v>
      </c>
      <c r="H43" s="112">
        <f>IF(NOT(ISBLANK('1.Stresses'!U28)),'1.Stresses'!U28,H42)</f>
        <v>17</v>
      </c>
    </row>
    <row r="44" spans="3:8" x14ac:dyDescent="0.25">
      <c r="C44" s="112">
        <f>IF(NOT(ISBLANK('1.Stresses'!P29)),'1.Stresses'!P29,C43)</f>
        <v>0</v>
      </c>
      <c r="D44" s="112">
        <f>IF(NOT(ISBLANK('1.Stresses'!Q29)),'1.Stresses'!Q29,D43)</f>
        <v>0</v>
      </c>
      <c r="G44" s="112">
        <f>IF(NOT(ISBLANK('1.Stresses'!T29)),'1.Stresses'!T29,G43)</f>
        <v>0</v>
      </c>
      <c r="H44" s="112">
        <f>IF(NOT(ISBLANK('1.Stresses'!U29)),'1.Stresses'!U29,H43)</f>
        <v>17</v>
      </c>
    </row>
    <row r="45" spans="3:8" x14ac:dyDescent="0.25">
      <c r="C45" s="112">
        <f>IF(NOT(ISBLANK('1.Stresses'!P30)),'1.Stresses'!P30,C44)</f>
        <v>0</v>
      </c>
      <c r="D45" s="112">
        <f>IF(NOT(ISBLANK('1.Stresses'!Q30)),'1.Stresses'!Q30,D44)</f>
        <v>0</v>
      </c>
      <c r="G45" s="112">
        <f>IF(NOT(ISBLANK('1.Stresses'!T30)),'1.Stresses'!T30,G44)</f>
        <v>0</v>
      </c>
      <c r="H45" s="112">
        <f>IF(NOT(ISBLANK('1.Stresses'!U30)),'1.Stresses'!U30,H44)</f>
        <v>17</v>
      </c>
    </row>
    <row r="46" spans="3:8" x14ac:dyDescent="0.25">
      <c r="C46" s="112">
        <f>IF(NOT(ISBLANK('1.Stresses'!P31)),'1.Stresses'!P31,C45)</f>
        <v>0</v>
      </c>
      <c r="D46" s="112">
        <f>IF(NOT(ISBLANK('1.Stresses'!Q31)),'1.Stresses'!Q31,D45)</f>
        <v>0</v>
      </c>
      <c r="G46" s="112">
        <f>IF(NOT(ISBLANK('1.Stresses'!T31)),'1.Stresses'!T31,G45)</f>
        <v>0</v>
      </c>
      <c r="H46" s="112">
        <f>IF(NOT(ISBLANK('1.Stresses'!U31)),'1.Stresses'!U31,H45)</f>
        <v>17</v>
      </c>
    </row>
    <row r="47" spans="3:8" x14ac:dyDescent="0.25">
      <c r="C47" s="112">
        <f>IF(NOT(ISBLANK('1.Stresses'!P32)),'1.Stresses'!P32,C46)</f>
        <v>0</v>
      </c>
      <c r="D47" s="112">
        <f>IF(NOT(ISBLANK('1.Stresses'!Q32)),'1.Stresses'!Q32,D46)</f>
        <v>0</v>
      </c>
      <c r="G47" s="112">
        <f>IF(NOT(ISBLANK('1.Stresses'!T32)),'1.Stresses'!T32,G46)</f>
        <v>0</v>
      </c>
      <c r="H47" s="112">
        <f>IF(NOT(ISBLANK('1.Stresses'!U32)),'1.Stresses'!U32,H46)</f>
        <v>17</v>
      </c>
    </row>
    <row r="48" spans="3:8" x14ac:dyDescent="0.25">
      <c r="C48" s="112">
        <f>IF(NOT(ISBLANK('1.Stresses'!P33)),'1.Stresses'!P33,C47)</f>
        <v>0</v>
      </c>
      <c r="D48" s="112">
        <f>IF(NOT(ISBLANK('1.Stresses'!Q33)),'1.Stresses'!Q33,D47)</f>
        <v>0</v>
      </c>
      <c r="G48" s="112">
        <f>IF(NOT(ISBLANK('1.Stresses'!T33)),'1.Stresses'!T33,G47)</f>
        <v>0</v>
      </c>
      <c r="H48" s="112">
        <f>IF(NOT(ISBLANK('1.Stresses'!U33)),'1.Stresses'!U33,H47)</f>
        <v>17</v>
      </c>
    </row>
    <row r="49" spans="3:8" x14ac:dyDescent="0.25">
      <c r="C49" s="112">
        <f>IF(NOT(ISBLANK('1.Stresses'!P34)),'1.Stresses'!P34,C48)</f>
        <v>0</v>
      </c>
      <c r="D49" s="112">
        <f>IF(NOT(ISBLANK('1.Stresses'!Q34)),'1.Stresses'!Q34,D48)</f>
        <v>0</v>
      </c>
      <c r="G49" s="112">
        <f>IF(NOT(ISBLANK('1.Stresses'!T34)),'1.Stresses'!T34,G48)</f>
        <v>0</v>
      </c>
      <c r="H49" s="112">
        <f>IF(NOT(ISBLANK('1.Stresses'!U34)),'1.Stresses'!U34,H48)</f>
        <v>17</v>
      </c>
    </row>
    <row r="50" spans="3:8" x14ac:dyDescent="0.25">
      <c r="C50" s="112">
        <f>IF(NOT(ISBLANK('1.Stresses'!P35)),'1.Stresses'!P35,C49)</f>
        <v>0</v>
      </c>
      <c r="D50" s="112">
        <f>IF(NOT(ISBLANK('1.Stresses'!Q35)),'1.Stresses'!Q35,D49)</f>
        <v>0</v>
      </c>
      <c r="G50" s="112">
        <f>IF(NOT(ISBLANK('1.Stresses'!T35)),'1.Stresses'!T35,G49)</f>
        <v>0</v>
      </c>
      <c r="H50" s="112">
        <f>IF(NOT(ISBLANK('1.Stresses'!U35)),'1.Stresses'!U35,H49)</f>
        <v>17</v>
      </c>
    </row>
    <row r="51" spans="3:8" x14ac:dyDescent="0.25">
      <c r="C51" s="112">
        <f>IF(NOT(ISBLANK('1.Stresses'!P36)),'1.Stresses'!P36,C50)</f>
        <v>0</v>
      </c>
      <c r="D51" s="112">
        <f>IF(NOT(ISBLANK('1.Stresses'!Q36)),'1.Stresses'!Q36,D50)</f>
        <v>0</v>
      </c>
      <c r="G51" s="112">
        <f>IF(NOT(ISBLANK('1.Stresses'!T36)),'1.Stresses'!T36,G50)</f>
        <v>0</v>
      </c>
      <c r="H51" s="112">
        <f>IF(NOT(ISBLANK('1.Stresses'!U36)),'1.Stresses'!U36,H50)</f>
        <v>17</v>
      </c>
    </row>
    <row r="52" spans="3:8" x14ac:dyDescent="0.25">
      <c r="C52" s="112">
        <f>IF(NOT(ISBLANK('1.Stresses'!P37)),'1.Stresses'!P37,C51)</f>
        <v>0</v>
      </c>
      <c r="D52" s="112">
        <f>IF(NOT(ISBLANK('1.Stresses'!Q37)),'1.Stresses'!Q37,D51)</f>
        <v>0</v>
      </c>
      <c r="G52" s="112">
        <f>IF(NOT(ISBLANK('1.Stresses'!T37)),'1.Stresses'!T37,G51)</f>
        <v>0</v>
      </c>
      <c r="H52" s="112">
        <f>IF(NOT(ISBLANK('1.Stresses'!U37)),'1.Stresses'!U37,H51)</f>
        <v>17</v>
      </c>
    </row>
    <row r="53" spans="3:8" x14ac:dyDescent="0.25">
      <c r="C53" s="112">
        <f>IF(NOT(ISBLANK('1.Stresses'!P38)),'1.Stresses'!P38,C52)</f>
        <v>0</v>
      </c>
      <c r="D53" s="112">
        <f>IF(NOT(ISBLANK('1.Stresses'!Q38)),'1.Stresses'!Q38,D52)</f>
        <v>0</v>
      </c>
      <c r="G53" s="112">
        <f>IF(NOT(ISBLANK('1.Stresses'!T38)),'1.Stresses'!T38,G52)</f>
        <v>0</v>
      </c>
      <c r="H53" s="112">
        <f>IF(NOT(ISBLANK('1.Stresses'!U38)),'1.Stresses'!U38,H52)</f>
        <v>17</v>
      </c>
    </row>
    <row r="54" spans="3:8" x14ac:dyDescent="0.25">
      <c r="C54" s="112">
        <f>IF(NOT(ISBLANK('1.Stresses'!P39)),'1.Stresses'!P39,C53)</f>
        <v>0</v>
      </c>
      <c r="D54" s="112">
        <f>IF(NOT(ISBLANK('1.Stresses'!Q39)),'1.Stresses'!Q39,D53)</f>
        <v>0</v>
      </c>
      <c r="G54" s="112">
        <f>IF(NOT(ISBLANK('1.Stresses'!T39)),'1.Stresses'!T39,G53)</f>
        <v>0</v>
      </c>
      <c r="H54" s="112">
        <f>IF(NOT(ISBLANK('1.Stresses'!U39)),'1.Stresses'!U39,H53)</f>
        <v>17</v>
      </c>
    </row>
    <row r="55" spans="3:8" x14ac:dyDescent="0.25">
      <c r="C55" s="112">
        <f>IF(NOT(ISBLANK('1.Stresses'!P40)),'1.Stresses'!P40,C54)</f>
        <v>0</v>
      </c>
      <c r="D55" s="112">
        <f>IF(NOT(ISBLANK('1.Stresses'!Q40)),'1.Stresses'!Q40,D54)</f>
        <v>0</v>
      </c>
      <c r="G55" s="112">
        <f>IF(NOT(ISBLANK('1.Stresses'!T40)),'1.Stresses'!T40,G54)</f>
        <v>0</v>
      </c>
      <c r="H55" s="112">
        <f>IF(NOT(ISBLANK('1.Stresses'!U40)),'1.Stresses'!U40,H54)</f>
        <v>17</v>
      </c>
    </row>
    <row r="56" spans="3:8" x14ac:dyDescent="0.25">
      <c r="C56" s="112">
        <f>IF(NOT(ISBLANK('1.Stresses'!P41)),'1.Stresses'!P41,C55)</f>
        <v>0</v>
      </c>
      <c r="D56" s="112">
        <f>IF(NOT(ISBLANK('1.Stresses'!Q41)),'1.Stresses'!Q41,D55)</f>
        <v>0</v>
      </c>
      <c r="G56" s="112">
        <f>IF(NOT(ISBLANK('1.Stresses'!T41)),'1.Stresses'!T41,G55)</f>
        <v>0</v>
      </c>
      <c r="H56" s="112">
        <f>IF(NOT(ISBLANK('1.Stresses'!U41)),'1.Stresses'!U41,H55)</f>
        <v>17</v>
      </c>
    </row>
    <row r="57" spans="3:8" x14ac:dyDescent="0.25">
      <c r="C57" s="112">
        <f>IF(NOT(ISBLANK('1.Stresses'!P42)),'1.Stresses'!P42,C56)</f>
        <v>0</v>
      </c>
      <c r="D57" s="112">
        <f>IF(NOT(ISBLANK('1.Stresses'!Q42)),'1.Stresses'!Q42,D56)</f>
        <v>0</v>
      </c>
      <c r="G57" s="112">
        <f>IF(NOT(ISBLANK('1.Stresses'!T42)),'1.Stresses'!T42,G56)</f>
        <v>0</v>
      </c>
      <c r="H57" s="112">
        <f>IF(NOT(ISBLANK('1.Stresses'!U42)),'1.Stresses'!U42,H56)</f>
        <v>17</v>
      </c>
    </row>
    <row r="58" spans="3:8" x14ac:dyDescent="0.25">
      <c r="C58" s="112">
        <f>IF(NOT(ISBLANK('1.Stresses'!P43)),'1.Stresses'!P43,C57)</f>
        <v>0</v>
      </c>
      <c r="D58" s="112">
        <f>IF(NOT(ISBLANK('1.Stresses'!Q43)),'1.Stresses'!Q43,D57)</f>
        <v>0</v>
      </c>
      <c r="G58" s="112">
        <f>IF(NOT(ISBLANK('1.Stresses'!T43)),'1.Stresses'!T43,G57)</f>
        <v>0</v>
      </c>
      <c r="H58" s="112">
        <f>IF(NOT(ISBLANK('1.Stresses'!U43)),'1.Stresses'!U43,H57)</f>
        <v>17</v>
      </c>
    </row>
    <row r="59" spans="3:8" x14ac:dyDescent="0.25">
      <c r="C59" s="112">
        <f>IF(NOT(ISBLANK('1.Stresses'!P44)),'1.Stresses'!P44,C58)</f>
        <v>0</v>
      </c>
      <c r="D59" s="112">
        <f>IF(NOT(ISBLANK('1.Stresses'!Q44)),'1.Stresses'!Q44,D58)</f>
        <v>0</v>
      </c>
      <c r="G59" s="112">
        <f>IF(NOT(ISBLANK('1.Stresses'!T44)),'1.Stresses'!T44,G58)</f>
        <v>0</v>
      </c>
      <c r="H59" s="112">
        <f>IF(NOT(ISBLANK('1.Stresses'!U44)),'1.Stresses'!U44,H58)</f>
        <v>17</v>
      </c>
    </row>
    <row r="60" spans="3:8" x14ac:dyDescent="0.25">
      <c r="C60" s="112">
        <f>IF(NOT(ISBLANK('1.Stresses'!P45)),'1.Stresses'!P45,C59)</f>
        <v>0</v>
      </c>
      <c r="D60" s="112">
        <f>IF(NOT(ISBLANK('1.Stresses'!Q45)),'1.Stresses'!Q45,D59)</f>
        <v>0</v>
      </c>
      <c r="G60" s="112">
        <f>IF(NOT(ISBLANK('1.Stresses'!T45)),'1.Stresses'!T45,G59)</f>
        <v>0</v>
      </c>
      <c r="H60" s="112">
        <f>IF(NOT(ISBLANK('1.Stresses'!U45)),'1.Stresses'!U45,H59)</f>
        <v>17</v>
      </c>
    </row>
    <row r="61" spans="3:8" x14ac:dyDescent="0.25">
      <c r="C61" s="112">
        <f>IF(NOT(ISBLANK('1.Stresses'!P46)),'1.Stresses'!P46,C60)</f>
        <v>0</v>
      </c>
      <c r="D61" s="112">
        <f>IF(NOT(ISBLANK('1.Stresses'!Q46)),'1.Stresses'!Q46,D60)</f>
        <v>0</v>
      </c>
      <c r="G61" s="112">
        <f>IF(NOT(ISBLANK('1.Stresses'!T46)),'1.Stresses'!T46,G60)</f>
        <v>0</v>
      </c>
      <c r="H61" s="112">
        <f>IF(NOT(ISBLANK('1.Stresses'!U46)),'1.Stresses'!U46,H60)</f>
        <v>17</v>
      </c>
    </row>
    <row r="62" spans="3:8" x14ac:dyDescent="0.25">
      <c r="C62" s="112">
        <f>IF(NOT(ISBLANK('1.Stresses'!P47)),'1.Stresses'!P47,C61)</f>
        <v>0</v>
      </c>
      <c r="D62" s="112">
        <f>IF(NOT(ISBLANK('1.Stresses'!Q47)),'1.Stresses'!Q47,D61)</f>
        <v>0</v>
      </c>
      <c r="G62" s="112">
        <f>IF(NOT(ISBLANK('1.Stresses'!T47)),'1.Stresses'!T47,G61)</f>
        <v>0</v>
      </c>
      <c r="H62" s="112">
        <f>IF(NOT(ISBLANK('1.Stresses'!U47)),'1.Stresses'!U47,H61)</f>
        <v>17</v>
      </c>
    </row>
    <row r="63" spans="3:8" x14ac:dyDescent="0.25">
      <c r="C63" s="112">
        <f>IF(NOT(ISBLANK('1.Stresses'!P48)),'1.Stresses'!P48,C62)</f>
        <v>0</v>
      </c>
      <c r="D63" s="112">
        <f>IF(NOT(ISBLANK('1.Stresses'!Q48)),'1.Stresses'!Q48,D62)</f>
        <v>0</v>
      </c>
      <c r="G63" s="112">
        <f>IF(NOT(ISBLANK('1.Stresses'!T48)),'1.Stresses'!T48,G62)</f>
        <v>0</v>
      </c>
      <c r="H63" s="112">
        <f>IF(NOT(ISBLANK('1.Stresses'!U48)),'1.Stresses'!U48,H62)</f>
        <v>17</v>
      </c>
    </row>
    <row r="64" spans="3:8" x14ac:dyDescent="0.25">
      <c r="C64" s="112">
        <f>IF(NOT(ISBLANK('1.Stresses'!P49)),'1.Stresses'!P49,C63)</f>
        <v>0</v>
      </c>
      <c r="D64" s="112">
        <f>IF(NOT(ISBLANK('1.Stresses'!Q49)),'1.Stresses'!Q49,D63)</f>
        <v>0</v>
      </c>
      <c r="G64" s="112">
        <f>IF(NOT(ISBLANK('1.Stresses'!T49)),'1.Stresses'!T49,G63)</f>
        <v>0</v>
      </c>
      <c r="H64" s="112">
        <f>IF(NOT(ISBLANK('1.Stresses'!U49)),'1.Stresses'!U49,H63)</f>
        <v>17</v>
      </c>
    </row>
    <row r="65" spans="3:8" x14ac:dyDescent="0.25">
      <c r="C65" s="112">
        <f>IF(NOT(ISBLANK('1.Stresses'!P50)),'1.Stresses'!P50,C64)</f>
        <v>0</v>
      </c>
      <c r="D65" s="112">
        <f>IF(NOT(ISBLANK('1.Stresses'!Q50)),'1.Stresses'!Q50,D64)</f>
        <v>0</v>
      </c>
      <c r="G65" s="112">
        <f>IF(NOT(ISBLANK('1.Stresses'!T50)),'1.Stresses'!T50,G64)</f>
        <v>0</v>
      </c>
      <c r="H65" s="112">
        <f>IF(NOT(ISBLANK('1.Stresses'!U50)),'1.Stresses'!U50,H64)</f>
        <v>17</v>
      </c>
    </row>
    <row r="66" spans="3:8" x14ac:dyDescent="0.25">
      <c r="C66" s="112">
        <f>IF(NOT(ISBLANK('1.Stresses'!P51)),'1.Stresses'!P51,C65)</f>
        <v>0</v>
      </c>
      <c r="D66" s="112">
        <f>IF(NOT(ISBLANK('1.Stresses'!Q51)),'1.Stresses'!Q51,D65)</f>
        <v>0</v>
      </c>
      <c r="G66" s="112">
        <f>IF(NOT(ISBLANK('1.Stresses'!T51)),'1.Stresses'!T51,G65)</f>
        <v>0</v>
      </c>
      <c r="H66" s="112">
        <f>IF(NOT(ISBLANK('1.Stresses'!U51)),'1.Stresses'!U51,H65)</f>
        <v>17</v>
      </c>
    </row>
    <row r="67" spans="3:8" x14ac:dyDescent="0.25">
      <c r="C67" s="112">
        <f>IF(NOT(ISBLANK('1.Stresses'!P52)),'1.Stresses'!P52,C66)</f>
        <v>0</v>
      </c>
      <c r="D67" s="112">
        <f>IF(NOT(ISBLANK('1.Stresses'!Q52)),'1.Stresses'!Q52,D66)</f>
        <v>0</v>
      </c>
      <c r="G67" s="112">
        <f>IF(NOT(ISBLANK('1.Stresses'!T52)),'1.Stresses'!T52,G66)</f>
        <v>0</v>
      </c>
      <c r="H67" s="112">
        <f>IF(NOT(ISBLANK('1.Stresses'!U52)),'1.Stresses'!U52,H66)</f>
        <v>17</v>
      </c>
    </row>
    <row r="68" spans="3:8" x14ac:dyDescent="0.25">
      <c r="C68" s="112">
        <f>IF(NOT(ISBLANK('1.Stresses'!P53)),'1.Stresses'!P53,C67)</f>
        <v>0</v>
      </c>
      <c r="D68" s="112">
        <f>IF(NOT(ISBLANK('1.Stresses'!Q53)),'1.Stresses'!Q53,D67)</f>
        <v>0</v>
      </c>
      <c r="G68" s="112">
        <f>IF(NOT(ISBLANK('1.Stresses'!T53)),'1.Stresses'!T53,G67)</f>
        <v>0</v>
      </c>
      <c r="H68" s="112">
        <f>IF(NOT(ISBLANK('1.Stresses'!U53)),'1.Stresses'!U53,H67)</f>
        <v>17</v>
      </c>
    </row>
    <row r="69" spans="3:8" x14ac:dyDescent="0.25">
      <c r="C69" s="112">
        <f>IF(NOT(ISBLANK('1.Stresses'!P54)),'1.Stresses'!P54,C68)</f>
        <v>0</v>
      </c>
      <c r="D69" s="112">
        <f>IF(NOT(ISBLANK('1.Stresses'!Q54)),'1.Stresses'!Q54,D68)</f>
        <v>0</v>
      </c>
      <c r="G69" s="112">
        <f>IF(NOT(ISBLANK('1.Stresses'!T54)),'1.Stresses'!T54,G68)</f>
        <v>0</v>
      </c>
      <c r="H69" s="112">
        <f>IF(NOT(ISBLANK('1.Stresses'!U54)),'1.Stresses'!U54,H68)</f>
        <v>17</v>
      </c>
    </row>
    <row r="70" spans="3:8" x14ac:dyDescent="0.25">
      <c r="C70" s="112">
        <f>IF(NOT(ISBLANK('1.Stresses'!P55)),'1.Stresses'!P55,C69)</f>
        <v>0</v>
      </c>
      <c r="D70" s="112">
        <f>IF(NOT(ISBLANK('1.Stresses'!Q55)),'1.Stresses'!Q55,D69)</f>
        <v>0</v>
      </c>
      <c r="G70" s="112">
        <f>IF(NOT(ISBLANK('1.Stresses'!T55)),'1.Stresses'!T55,G69)</f>
        <v>0</v>
      </c>
      <c r="H70" s="112">
        <f>IF(NOT(ISBLANK('1.Stresses'!U55)),'1.Stresses'!U55,H69)</f>
        <v>17</v>
      </c>
    </row>
    <row r="71" spans="3:8" x14ac:dyDescent="0.25">
      <c r="C71" s="112">
        <f>IF(NOT(ISBLANK('1.Stresses'!P56)),'1.Stresses'!P56,C70)</f>
        <v>0</v>
      </c>
      <c r="D71" s="112">
        <f>IF(NOT(ISBLANK('1.Stresses'!Q56)),'1.Stresses'!Q56,D70)</f>
        <v>0</v>
      </c>
      <c r="G71" s="112">
        <f>IF(NOT(ISBLANK('1.Stresses'!T56)),'1.Stresses'!T56,G70)</f>
        <v>0</v>
      </c>
      <c r="H71" s="112">
        <f>IF(NOT(ISBLANK('1.Stresses'!U56)),'1.Stresses'!U56,H70)</f>
        <v>17</v>
      </c>
    </row>
    <row r="72" spans="3:8" x14ac:dyDescent="0.25">
      <c r="C72" s="112">
        <f>IF(NOT(ISBLANK('1.Stresses'!P57)),'1.Stresses'!P57,C71)</f>
        <v>0</v>
      </c>
      <c r="D72" s="112">
        <f>IF(NOT(ISBLANK('1.Stresses'!Q57)),'1.Stresses'!Q57,D71)</f>
        <v>0</v>
      </c>
      <c r="G72" s="112">
        <f>IF(NOT(ISBLANK('1.Stresses'!T57)),'1.Stresses'!T57,G71)</f>
        <v>0</v>
      </c>
      <c r="H72" s="112">
        <f>IF(NOT(ISBLANK('1.Stresses'!U57)),'1.Stresses'!U57,H71)</f>
        <v>17</v>
      </c>
    </row>
    <row r="73" spans="3:8" x14ac:dyDescent="0.25">
      <c r="C73" s="112">
        <f>IF(NOT(ISBLANK('1.Stresses'!P58)),'1.Stresses'!P58,C72)</f>
        <v>0</v>
      </c>
      <c r="D73" s="112">
        <f>IF(NOT(ISBLANK('1.Stresses'!Q58)),'1.Stresses'!Q58,D72)</f>
        <v>0</v>
      </c>
      <c r="G73" s="112">
        <f>IF(NOT(ISBLANK('1.Stresses'!T58)),'1.Stresses'!T58,G72)</f>
        <v>0</v>
      </c>
      <c r="H73" s="112">
        <f>IF(NOT(ISBLANK('1.Stresses'!U58)),'1.Stresses'!U58,H72)</f>
        <v>17</v>
      </c>
    </row>
    <row r="74" spans="3:8" x14ac:dyDescent="0.25">
      <c r="C74" s="112">
        <f>IF(NOT(ISBLANK('1.Stresses'!P59)),'1.Stresses'!P59,C73)</f>
        <v>0</v>
      </c>
      <c r="D74" s="112">
        <f>IF(NOT(ISBLANK('1.Stresses'!Q59)),'1.Stresses'!Q59,D73)</f>
        <v>0</v>
      </c>
      <c r="G74" s="112">
        <f>IF(NOT(ISBLANK('1.Stresses'!T59)),'1.Stresses'!T59,G73)</f>
        <v>0</v>
      </c>
      <c r="H74" s="112">
        <f>IF(NOT(ISBLANK('1.Stresses'!U59)),'1.Stresses'!U59,H73)</f>
        <v>17</v>
      </c>
    </row>
    <row r="75" spans="3:8" x14ac:dyDescent="0.25">
      <c r="C75" s="112">
        <f>IF(NOT(ISBLANK('1.Stresses'!P60)),'1.Stresses'!P60,C74)</f>
        <v>0</v>
      </c>
      <c r="D75" s="112">
        <f>IF(NOT(ISBLANK('1.Stresses'!Q60)),'1.Stresses'!Q60,D74)</f>
        <v>0</v>
      </c>
      <c r="G75" s="112">
        <f>IF(NOT(ISBLANK('1.Stresses'!T60)),'1.Stresses'!T60,G74)</f>
        <v>0</v>
      </c>
      <c r="H75" s="112">
        <f>IF(NOT(ISBLANK('1.Stresses'!U60)),'1.Stresses'!U60,H74)</f>
        <v>17</v>
      </c>
    </row>
    <row r="76" spans="3:8" x14ac:dyDescent="0.25">
      <c r="C76" s="112">
        <f>IF(NOT(ISBLANK('1.Stresses'!P61)),'1.Stresses'!P61,C75)</f>
        <v>0</v>
      </c>
      <c r="D76" s="112">
        <f>IF(NOT(ISBLANK('1.Stresses'!Q61)),'1.Stresses'!Q61,D75)</f>
        <v>0</v>
      </c>
      <c r="G76" s="112">
        <f>IF(NOT(ISBLANK('1.Stresses'!T61)),'1.Stresses'!T61,G75)</f>
        <v>0</v>
      </c>
      <c r="H76" s="112">
        <f>IF(NOT(ISBLANK('1.Stresses'!U61)),'1.Stresses'!U61,H75)</f>
        <v>17</v>
      </c>
    </row>
    <row r="77" spans="3:8" x14ac:dyDescent="0.25">
      <c r="C77" s="112">
        <f>IF(NOT(ISBLANK('1.Stresses'!P62)),'1.Stresses'!P62,C76)</f>
        <v>0</v>
      </c>
      <c r="D77" s="112">
        <f>IF(NOT(ISBLANK('1.Stresses'!Q62)),'1.Stresses'!Q62,D76)</f>
        <v>0</v>
      </c>
      <c r="G77" s="112">
        <f>IF(NOT(ISBLANK('1.Stresses'!T62)),'1.Stresses'!T62,G76)</f>
        <v>0</v>
      </c>
      <c r="H77" s="112">
        <f>IF(NOT(ISBLANK('1.Stresses'!U62)),'1.Stresses'!U62,H76)</f>
        <v>17</v>
      </c>
    </row>
    <row r="78" spans="3:8" x14ac:dyDescent="0.25">
      <c r="C78" s="112">
        <f>IF(NOT(ISBLANK('1.Stresses'!P63)),'1.Stresses'!P63,C77)</f>
        <v>0</v>
      </c>
      <c r="D78" s="112">
        <f>IF(NOT(ISBLANK('1.Stresses'!Q63)),'1.Stresses'!Q63,D77)</f>
        <v>0</v>
      </c>
      <c r="G78" s="112">
        <f>IF(NOT(ISBLANK('1.Stresses'!T63)),'1.Stresses'!T63,G77)</f>
        <v>0</v>
      </c>
      <c r="H78" s="112">
        <f>IF(NOT(ISBLANK('1.Stresses'!U63)),'1.Stresses'!U63,H77)</f>
        <v>17</v>
      </c>
    </row>
    <row r="79" spans="3:8" x14ac:dyDescent="0.25">
      <c r="C79" s="112">
        <f>IF(NOT(ISBLANK('1.Stresses'!P64)),'1.Stresses'!P64,C78)</f>
        <v>0</v>
      </c>
      <c r="D79" s="112">
        <f>IF(NOT(ISBLANK('1.Stresses'!Q64)),'1.Stresses'!Q64,D78)</f>
        <v>0</v>
      </c>
      <c r="G79" s="112">
        <f>IF(NOT(ISBLANK('1.Stresses'!T64)),'1.Stresses'!T64,G78)</f>
        <v>0</v>
      </c>
      <c r="H79" s="112">
        <f>IF(NOT(ISBLANK('1.Stresses'!U64)),'1.Stresses'!U64,H78)</f>
        <v>17</v>
      </c>
    </row>
    <row r="80" spans="3:8" x14ac:dyDescent="0.25">
      <c r="C80" s="112">
        <f>IF(NOT(ISBLANK('1.Stresses'!P65)),'1.Stresses'!P65,C79)</f>
        <v>0</v>
      </c>
      <c r="D80" s="112">
        <f>IF(NOT(ISBLANK('1.Stresses'!Q65)),'1.Stresses'!Q65,D79)</f>
        <v>0</v>
      </c>
      <c r="G80" s="112">
        <f>IF(NOT(ISBLANK('1.Stresses'!T65)),'1.Stresses'!T65,G79)</f>
        <v>0</v>
      </c>
      <c r="H80" s="112">
        <f>IF(NOT(ISBLANK('1.Stresses'!U65)),'1.Stresses'!U65,H79)</f>
        <v>17</v>
      </c>
    </row>
    <row r="81" spans="3:8" x14ac:dyDescent="0.25">
      <c r="C81" s="112">
        <f>IF(NOT(ISBLANK('1.Stresses'!P66)),'1.Stresses'!P66,C80)</f>
        <v>0</v>
      </c>
      <c r="D81" s="112">
        <f>IF(NOT(ISBLANK('1.Stresses'!Q66)),'1.Stresses'!Q66,D80)</f>
        <v>0</v>
      </c>
      <c r="G81" s="112">
        <f>IF(NOT(ISBLANK('1.Stresses'!T66)),'1.Stresses'!T66,G80)</f>
        <v>0</v>
      </c>
      <c r="H81" s="112">
        <f>IF(NOT(ISBLANK('1.Stresses'!U66)),'1.Stresses'!U66,H80)</f>
        <v>17</v>
      </c>
    </row>
    <row r="82" spans="3:8" x14ac:dyDescent="0.25">
      <c r="C82" s="112">
        <f>IF(NOT(ISBLANK('1.Stresses'!P67)),'1.Stresses'!P67,C81)</f>
        <v>0</v>
      </c>
      <c r="D82" s="112">
        <f>IF(NOT(ISBLANK('1.Stresses'!Q67)),'1.Stresses'!Q67,D81)</f>
        <v>0</v>
      </c>
      <c r="G82" s="112">
        <f>IF(NOT(ISBLANK('1.Stresses'!T67)),'1.Stresses'!T67,G81)</f>
        <v>0</v>
      </c>
      <c r="H82" s="112">
        <f>IF(NOT(ISBLANK('1.Stresses'!U67)),'1.Stresses'!U67,H81)</f>
        <v>17</v>
      </c>
    </row>
    <row r="83" spans="3:8" x14ac:dyDescent="0.25">
      <c r="C83" s="112">
        <f>IF(NOT(ISBLANK('1.Stresses'!P68)),'1.Stresses'!P68,C82)</f>
        <v>0</v>
      </c>
      <c r="D83" s="112">
        <f>IF(NOT(ISBLANK('1.Stresses'!Q68)),'1.Stresses'!Q68,D82)</f>
        <v>0</v>
      </c>
      <c r="G83" s="112">
        <f>IF(NOT(ISBLANK('1.Stresses'!T68)),'1.Stresses'!T68,G82)</f>
        <v>0</v>
      </c>
      <c r="H83" s="112">
        <f>IF(NOT(ISBLANK('1.Stresses'!U68)),'1.Stresses'!U68,H82)</f>
        <v>17</v>
      </c>
    </row>
    <row r="84" spans="3:8" x14ac:dyDescent="0.25">
      <c r="C84" s="112">
        <f>IF(NOT(ISBLANK('1.Stresses'!P69)),'1.Stresses'!P69,C83)</f>
        <v>0</v>
      </c>
      <c r="D84" s="112">
        <f>IF(NOT(ISBLANK('1.Stresses'!Q69)),'1.Stresses'!Q69,D83)</f>
        <v>0</v>
      </c>
      <c r="G84" s="112">
        <f>IF(NOT(ISBLANK('1.Stresses'!T69)),'1.Stresses'!T69,G83)</f>
        <v>0</v>
      </c>
      <c r="H84" s="112">
        <f>IF(NOT(ISBLANK('1.Stresses'!U69)),'1.Stresses'!U69,H83)</f>
        <v>17</v>
      </c>
    </row>
    <row r="85" spans="3:8" x14ac:dyDescent="0.25">
      <c r="C85" s="112">
        <f>IF(NOT(ISBLANK('1.Stresses'!P70)),'1.Stresses'!P70,C84)</f>
        <v>0</v>
      </c>
      <c r="D85" s="112">
        <f>IF(NOT(ISBLANK('1.Stresses'!Q70)),'1.Stresses'!Q70,D84)</f>
        <v>0</v>
      </c>
      <c r="G85" s="112">
        <f>IF(NOT(ISBLANK('1.Stresses'!T70)),'1.Stresses'!T70,G84)</f>
        <v>0</v>
      </c>
      <c r="H85" s="112">
        <f>IF(NOT(ISBLANK('1.Stresses'!U70)),'1.Stresses'!U70,H84)</f>
        <v>17</v>
      </c>
    </row>
    <row r="86" spans="3:8" x14ac:dyDescent="0.25">
      <c r="C86" s="112">
        <f>IF(NOT(ISBLANK('1.Stresses'!P71)),'1.Stresses'!P71,C85)</f>
        <v>0</v>
      </c>
      <c r="D86" s="112">
        <f>IF(NOT(ISBLANK('1.Stresses'!Q71)),'1.Stresses'!Q71,D85)</f>
        <v>0</v>
      </c>
      <c r="G86" s="112">
        <f>IF(NOT(ISBLANK('1.Stresses'!T71)),'1.Stresses'!T71,G85)</f>
        <v>0</v>
      </c>
      <c r="H86" s="112">
        <f>IF(NOT(ISBLANK('1.Stresses'!U71)),'1.Stresses'!U71,H85)</f>
        <v>17</v>
      </c>
    </row>
    <row r="87" spans="3:8" x14ac:dyDescent="0.25">
      <c r="C87" s="112">
        <f>IF(NOT(ISBLANK('1.Stresses'!P72)),'1.Stresses'!P72,C86)</f>
        <v>0</v>
      </c>
      <c r="D87" s="112">
        <f>IF(NOT(ISBLANK('1.Stresses'!Q72)),'1.Stresses'!Q72,D86)</f>
        <v>0</v>
      </c>
      <c r="G87" s="112">
        <f>IF(NOT(ISBLANK('1.Stresses'!T72)),'1.Stresses'!T72,G86)</f>
        <v>0</v>
      </c>
      <c r="H87" s="112">
        <f>IF(NOT(ISBLANK('1.Stresses'!U72)),'1.Stresses'!U72,H86)</f>
        <v>17</v>
      </c>
    </row>
    <row r="88" spans="3:8" x14ac:dyDescent="0.25">
      <c r="C88" s="112">
        <f>IF(NOT(ISBLANK('1.Stresses'!P73)),'1.Stresses'!P73,C87)</f>
        <v>0</v>
      </c>
      <c r="D88" s="112">
        <f>IF(NOT(ISBLANK('1.Stresses'!Q73)),'1.Stresses'!Q73,D87)</f>
        <v>0</v>
      </c>
      <c r="G88" s="112">
        <f>IF(NOT(ISBLANK('1.Stresses'!T73)),'1.Stresses'!T73,G87)</f>
        <v>0</v>
      </c>
      <c r="H88" s="112">
        <f>IF(NOT(ISBLANK('1.Stresses'!U73)),'1.Stresses'!U73,H87)</f>
        <v>17</v>
      </c>
    </row>
    <row r="89" spans="3:8" x14ac:dyDescent="0.25">
      <c r="C89" s="112">
        <f>IF(NOT(ISBLANK('1.Stresses'!P74)),'1.Stresses'!P74,C88)</f>
        <v>0</v>
      </c>
      <c r="D89" s="112">
        <f>IF(NOT(ISBLANK('1.Stresses'!Q74)),'1.Stresses'!Q74,D88)</f>
        <v>0</v>
      </c>
      <c r="G89" s="112">
        <f>IF(NOT(ISBLANK('1.Stresses'!T74)),'1.Stresses'!T74,G88)</f>
        <v>0</v>
      </c>
      <c r="H89" s="112">
        <f>IF(NOT(ISBLANK('1.Stresses'!U74)),'1.Stresses'!U74,H88)</f>
        <v>17</v>
      </c>
    </row>
    <row r="90" spans="3:8" x14ac:dyDescent="0.25">
      <c r="C90" s="112">
        <f>IF(NOT(ISBLANK('1.Stresses'!P75)),'1.Stresses'!P75,C89)</f>
        <v>0</v>
      </c>
      <c r="D90" s="112">
        <f>IF(NOT(ISBLANK('1.Stresses'!Q75)),'1.Stresses'!Q75,D89)</f>
        <v>0</v>
      </c>
      <c r="G90" s="112">
        <f>IF(NOT(ISBLANK('1.Stresses'!T75)),'1.Stresses'!T75,G89)</f>
        <v>0</v>
      </c>
      <c r="H90" s="112">
        <f>IF(NOT(ISBLANK('1.Stresses'!U75)),'1.Stresses'!U75,H89)</f>
        <v>17</v>
      </c>
    </row>
    <row r="91" spans="3:8" x14ac:dyDescent="0.25">
      <c r="C91" s="112">
        <f>IF(NOT(ISBLANK('1.Stresses'!P76)),'1.Stresses'!P76,C90)</f>
        <v>0</v>
      </c>
      <c r="D91" s="112">
        <f>IF(NOT(ISBLANK('1.Stresses'!Q76)),'1.Stresses'!Q76,D90)</f>
        <v>0</v>
      </c>
      <c r="G91" s="112">
        <f>IF(NOT(ISBLANK('1.Stresses'!T76)),'1.Stresses'!T76,G90)</f>
        <v>0</v>
      </c>
      <c r="H91" s="112">
        <f>IF(NOT(ISBLANK('1.Stresses'!U76)),'1.Stresses'!U76,H90)</f>
        <v>17</v>
      </c>
    </row>
    <row r="92" spans="3:8" x14ac:dyDescent="0.25">
      <c r="C92" s="112">
        <f>IF(NOT(ISBLANK('1.Stresses'!P77)),'1.Stresses'!P77,C91)</f>
        <v>0</v>
      </c>
      <c r="D92" s="112">
        <f>IF(NOT(ISBLANK('1.Stresses'!Q77)),'1.Stresses'!Q77,D91)</f>
        <v>0</v>
      </c>
      <c r="G92" s="112">
        <f>IF(NOT(ISBLANK('1.Stresses'!T77)),'1.Stresses'!T77,G91)</f>
        <v>0</v>
      </c>
      <c r="H92" s="112">
        <f>IF(NOT(ISBLANK('1.Stresses'!U77)),'1.Stresses'!U77,H91)</f>
        <v>17</v>
      </c>
    </row>
    <row r="93" spans="3:8" x14ac:dyDescent="0.25">
      <c r="C93" s="112">
        <f>IF(NOT(ISBLANK('1.Stresses'!P78)),'1.Stresses'!P78,C92)</f>
        <v>0</v>
      </c>
      <c r="D93" s="112">
        <f>IF(NOT(ISBLANK('1.Stresses'!Q78)),'1.Stresses'!Q78,D92)</f>
        <v>0</v>
      </c>
      <c r="G93" s="112">
        <f>IF(NOT(ISBLANK('1.Stresses'!T78)),'1.Stresses'!T78,G92)</f>
        <v>0</v>
      </c>
      <c r="H93" s="112">
        <f>IF(NOT(ISBLANK('1.Stresses'!U78)),'1.Stresses'!U78,H92)</f>
        <v>17</v>
      </c>
    </row>
    <row r="94" spans="3:8" x14ac:dyDescent="0.25">
      <c r="C94" s="112">
        <f>IF(NOT(ISBLANK('1.Stresses'!P79)),'1.Stresses'!P79,C93)</f>
        <v>0</v>
      </c>
      <c r="D94" s="112">
        <f>IF(NOT(ISBLANK('1.Stresses'!Q79)),'1.Stresses'!Q79,D93)</f>
        <v>0</v>
      </c>
      <c r="G94" s="112">
        <f>IF(NOT(ISBLANK('1.Stresses'!T79)),'1.Stresses'!T79,G93)</f>
        <v>0</v>
      </c>
      <c r="H94" s="112">
        <f>IF(NOT(ISBLANK('1.Stresses'!U79)),'1.Stresses'!U79,H93)</f>
        <v>17</v>
      </c>
    </row>
    <row r="95" spans="3:8" x14ac:dyDescent="0.25">
      <c r="C95" s="112">
        <f>IF(NOT(ISBLANK('1.Stresses'!P80)),'1.Stresses'!P80,C94)</f>
        <v>0</v>
      </c>
      <c r="D95" s="112">
        <f>IF(NOT(ISBLANK('1.Stresses'!Q80)),'1.Stresses'!Q80,D94)</f>
        <v>0</v>
      </c>
      <c r="G95" s="112">
        <f>IF(NOT(ISBLANK('1.Stresses'!T80)),'1.Stresses'!T80,G94)</f>
        <v>0</v>
      </c>
      <c r="H95" s="112">
        <f>IF(NOT(ISBLANK('1.Stresses'!U80)),'1.Stresses'!U80,H94)</f>
        <v>17</v>
      </c>
    </row>
    <row r="96" spans="3:8" x14ac:dyDescent="0.25">
      <c r="C96" s="112">
        <f>IF(NOT(ISBLANK('1.Stresses'!P81)),'1.Stresses'!P81,C95)</f>
        <v>0</v>
      </c>
      <c r="D96" s="112">
        <f>IF(NOT(ISBLANK('1.Stresses'!Q81)),'1.Stresses'!Q81,D95)</f>
        <v>0</v>
      </c>
      <c r="G96" s="112">
        <f>IF(NOT(ISBLANK('1.Stresses'!T81)),'1.Stresses'!T81,G95)</f>
        <v>0</v>
      </c>
      <c r="H96" s="112">
        <f>IF(NOT(ISBLANK('1.Stresses'!U81)),'1.Stresses'!U81,H95)</f>
        <v>17</v>
      </c>
    </row>
    <row r="97" spans="3:8" x14ac:dyDescent="0.25">
      <c r="C97" s="112">
        <f>IF(NOT(ISBLANK('1.Stresses'!P82)),'1.Stresses'!P82,C96)</f>
        <v>0</v>
      </c>
      <c r="D97" s="112">
        <f>IF(NOT(ISBLANK('1.Stresses'!Q82)),'1.Stresses'!Q82,D96)</f>
        <v>0</v>
      </c>
      <c r="G97" s="112">
        <f>IF(NOT(ISBLANK('1.Stresses'!T82)),'1.Stresses'!T82,G96)</f>
        <v>0</v>
      </c>
      <c r="H97" s="112">
        <f>IF(NOT(ISBLANK('1.Stresses'!U82)),'1.Stresses'!U82,H96)</f>
        <v>17</v>
      </c>
    </row>
    <row r="98" spans="3:8" x14ac:dyDescent="0.25">
      <c r="C98" s="112">
        <f>IF(NOT(ISBLANK('1.Stresses'!P83)),'1.Stresses'!P83,C97)</f>
        <v>0</v>
      </c>
      <c r="D98" s="112">
        <f>IF(NOT(ISBLANK('1.Stresses'!Q83)),'1.Stresses'!Q83,D97)</f>
        <v>0</v>
      </c>
      <c r="G98" s="112">
        <f>IF(NOT(ISBLANK('1.Stresses'!T83)),'1.Stresses'!T83,G97)</f>
        <v>0</v>
      </c>
      <c r="H98" s="112">
        <f>IF(NOT(ISBLANK('1.Stresses'!U83)),'1.Stresses'!U83,H97)</f>
        <v>17</v>
      </c>
    </row>
    <row r="99" spans="3:8" x14ac:dyDescent="0.25">
      <c r="C99" s="112">
        <f>IF(NOT(ISBLANK('1.Stresses'!P84)),'1.Stresses'!P84,C98)</f>
        <v>0</v>
      </c>
      <c r="D99" s="112">
        <f>IF(NOT(ISBLANK('1.Stresses'!Q84)),'1.Stresses'!Q84,D98)</f>
        <v>0</v>
      </c>
      <c r="G99" s="112">
        <f>IF(NOT(ISBLANK('1.Stresses'!T84)),'1.Stresses'!T84,G98)</f>
        <v>0</v>
      </c>
      <c r="H99" s="112">
        <f>IF(NOT(ISBLANK('1.Stresses'!U84)),'1.Stresses'!U84,H98)</f>
        <v>17</v>
      </c>
    </row>
    <row r="100" spans="3:8" x14ac:dyDescent="0.25">
      <c r="C100" s="112">
        <f>IF(NOT(ISBLANK('1.Stresses'!P85)),'1.Stresses'!P85,C99)</f>
        <v>0</v>
      </c>
      <c r="D100" s="112">
        <f>IF(NOT(ISBLANK('1.Stresses'!Q85)),'1.Stresses'!Q85,D99)</f>
        <v>0</v>
      </c>
      <c r="G100" s="112">
        <f>IF(NOT(ISBLANK('1.Stresses'!T85)),'1.Stresses'!T85,G99)</f>
        <v>0</v>
      </c>
      <c r="H100" s="112">
        <f>IF(NOT(ISBLANK('1.Stresses'!U85)),'1.Stresses'!U85,H99)</f>
        <v>17</v>
      </c>
    </row>
    <row r="101" spans="3:8" x14ac:dyDescent="0.25">
      <c r="C101" s="112">
        <f>IF(NOT(ISBLANK('1.Stresses'!P86)),'1.Stresses'!P86,C100)</f>
        <v>0</v>
      </c>
      <c r="D101" s="112">
        <f>IF(NOT(ISBLANK('1.Stresses'!Q86)),'1.Stresses'!Q86,D100)</f>
        <v>0</v>
      </c>
      <c r="G101" s="112">
        <f>IF(NOT(ISBLANK('1.Stresses'!T86)),'1.Stresses'!T86,G100)</f>
        <v>0</v>
      </c>
      <c r="H101" s="112">
        <f>IF(NOT(ISBLANK('1.Stresses'!U86)),'1.Stresses'!U86,H100)</f>
        <v>17</v>
      </c>
    </row>
    <row r="102" spans="3:8" x14ac:dyDescent="0.25">
      <c r="C102" s="112">
        <f>IF(NOT(ISBLANK('1.Stresses'!P87)),'1.Stresses'!P87,C101)</f>
        <v>0</v>
      </c>
      <c r="D102" s="112">
        <f>IF(NOT(ISBLANK('1.Stresses'!Q87)),'1.Stresses'!Q87,D101)</f>
        <v>0</v>
      </c>
      <c r="G102" s="112">
        <f>IF(NOT(ISBLANK('1.Stresses'!T87)),'1.Stresses'!T87,G101)</f>
        <v>0</v>
      </c>
      <c r="H102" s="112">
        <f>IF(NOT(ISBLANK('1.Stresses'!U87)),'1.Stresses'!U87,H101)</f>
        <v>17</v>
      </c>
    </row>
    <row r="103" spans="3:8" x14ac:dyDescent="0.25">
      <c r="C103" s="112">
        <f>IF(NOT(ISBLANK('1.Stresses'!P88)),'1.Stresses'!P88,C102)</f>
        <v>0</v>
      </c>
      <c r="D103" s="112">
        <f>IF(NOT(ISBLANK('1.Stresses'!Q88)),'1.Stresses'!Q88,D102)</f>
        <v>0</v>
      </c>
      <c r="G103" s="112">
        <f>IF(NOT(ISBLANK('1.Stresses'!T88)),'1.Stresses'!T88,G102)</f>
        <v>0</v>
      </c>
      <c r="H103" s="112">
        <f>IF(NOT(ISBLANK('1.Stresses'!U88)),'1.Stresses'!U88,H102)</f>
        <v>17</v>
      </c>
    </row>
    <row r="104" spans="3:8" x14ac:dyDescent="0.25">
      <c r="C104" s="112">
        <f>IF(NOT(ISBLANK('1.Stresses'!P89)),'1.Stresses'!P89,C103)</f>
        <v>0</v>
      </c>
      <c r="D104" s="112">
        <f>IF(NOT(ISBLANK('1.Stresses'!Q89)),'1.Stresses'!Q89,D103)</f>
        <v>0</v>
      </c>
      <c r="G104" s="112">
        <f>IF(NOT(ISBLANK('1.Stresses'!T89)),'1.Stresses'!T89,G103)</f>
        <v>0</v>
      </c>
      <c r="H104" s="112">
        <f>IF(NOT(ISBLANK('1.Stresses'!U89)),'1.Stresses'!U89,H103)</f>
        <v>17</v>
      </c>
    </row>
    <row r="105" spans="3:8" x14ac:dyDescent="0.25">
      <c r="C105" s="112">
        <f>IF(NOT(ISBLANK('1.Stresses'!P90)),'1.Stresses'!P90,C104)</f>
        <v>0</v>
      </c>
      <c r="D105" s="112">
        <f>IF(NOT(ISBLANK('1.Stresses'!Q90)),'1.Stresses'!Q90,D104)</f>
        <v>0</v>
      </c>
      <c r="G105" s="112">
        <f>IF(NOT(ISBLANK('1.Stresses'!T90)),'1.Stresses'!T90,G104)</f>
        <v>0</v>
      </c>
      <c r="H105" s="112">
        <f>IF(NOT(ISBLANK('1.Stresses'!U90)),'1.Stresses'!U90,H104)</f>
        <v>17</v>
      </c>
    </row>
    <row r="106" spans="3:8" x14ac:dyDescent="0.25">
      <c r="C106" s="112">
        <f>IF(NOT(ISBLANK('1.Stresses'!P91)),'1.Stresses'!P91,C105)</f>
        <v>0</v>
      </c>
      <c r="D106" s="112">
        <f>IF(NOT(ISBLANK('1.Stresses'!Q91)),'1.Stresses'!Q91,D105)</f>
        <v>0</v>
      </c>
      <c r="G106" s="112">
        <f>IF(NOT(ISBLANK('1.Stresses'!T91)),'1.Stresses'!T91,G105)</f>
        <v>0</v>
      </c>
      <c r="H106" s="112">
        <f>IF(NOT(ISBLANK('1.Stresses'!U91)),'1.Stresses'!U91,H105)</f>
        <v>17</v>
      </c>
    </row>
    <row r="107" spans="3:8" x14ac:dyDescent="0.25">
      <c r="C107" s="112">
        <f>IF(NOT(ISBLANK('1.Stresses'!P92)),'1.Stresses'!P92,C106)</f>
        <v>0</v>
      </c>
      <c r="D107" s="112">
        <f>IF(NOT(ISBLANK('1.Stresses'!Q92)),'1.Stresses'!Q92,D106)</f>
        <v>0</v>
      </c>
      <c r="G107" s="112">
        <f>IF(NOT(ISBLANK('1.Stresses'!T92)),'1.Stresses'!T92,G106)</f>
        <v>0</v>
      </c>
      <c r="H107" s="112">
        <f>IF(NOT(ISBLANK('1.Stresses'!U92)),'1.Stresses'!U92,H106)</f>
        <v>17</v>
      </c>
    </row>
    <row r="108" spans="3:8" x14ac:dyDescent="0.25">
      <c r="C108" s="112">
        <f>IF(NOT(ISBLANK('1.Stresses'!P93)),'1.Stresses'!P93,C107)</f>
        <v>0</v>
      </c>
      <c r="D108" s="112">
        <f>IF(NOT(ISBLANK('1.Stresses'!Q93)),'1.Stresses'!Q93,D107)</f>
        <v>0</v>
      </c>
      <c r="G108" s="112">
        <f>IF(NOT(ISBLANK('1.Stresses'!T93)),'1.Stresses'!T93,G107)</f>
        <v>0</v>
      </c>
      <c r="H108" s="112">
        <f>IF(NOT(ISBLANK('1.Stresses'!U93)),'1.Stresses'!U93,H107)</f>
        <v>17</v>
      </c>
    </row>
    <row r="109" spans="3:8" x14ac:dyDescent="0.25">
      <c r="C109" s="112">
        <f>IF(NOT(ISBLANK('1.Stresses'!P94)),'1.Stresses'!P94,C108)</f>
        <v>0</v>
      </c>
      <c r="D109" s="112">
        <f>IF(NOT(ISBLANK('1.Stresses'!Q94)),'1.Stresses'!Q94,D108)</f>
        <v>0</v>
      </c>
      <c r="G109" s="112">
        <f>IF(NOT(ISBLANK('1.Stresses'!T94)),'1.Stresses'!T94,G108)</f>
        <v>0</v>
      </c>
      <c r="H109" s="112">
        <f>IF(NOT(ISBLANK('1.Stresses'!U94)),'1.Stresses'!U94,H108)</f>
        <v>17</v>
      </c>
    </row>
    <row r="110" spans="3:8" x14ac:dyDescent="0.25">
      <c r="C110" s="112">
        <f>IF(NOT(ISBLANK('1.Stresses'!P95)),'1.Stresses'!P95,C109)</f>
        <v>0</v>
      </c>
      <c r="D110" s="112">
        <f>IF(NOT(ISBLANK('1.Stresses'!Q95)),'1.Stresses'!Q95,D109)</f>
        <v>0</v>
      </c>
      <c r="G110" s="112">
        <f>IF(NOT(ISBLANK('1.Stresses'!T95)),'1.Stresses'!T95,G109)</f>
        <v>0</v>
      </c>
      <c r="H110" s="112">
        <f>IF(NOT(ISBLANK('1.Stresses'!U95)),'1.Stresses'!U95,H109)</f>
        <v>17</v>
      </c>
    </row>
    <row r="111" spans="3:8" x14ac:dyDescent="0.25">
      <c r="C111" s="112">
        <f>IF(NOT(ISBLANK('1.Stresses'!P96)),'1.Stresses'!P96,C110)</f>
        <v>0</v>
      </c>
      <c r="D111" s="112">
        <f>IF(NOT(ISBLANK('1.Stresses'!Q96)),'1.Stresses'!Q96,D110)</f>
        <v>0</v>
      </c>
      <c r="G111" s="112">
        <f>IF(NOT(ISBLANK('1.Stresses'!T96)),'1.Stresses'!T96,G110)</f>
        <v>0</v>
      </c>
      <c r="H111" s="112">
        <f>IF(NOT(ISBLANK('1.Stresses'!U96)),'1.Stresses'!U96,H110)</f>
        <v>17</v>
      </c>
    </row>
    <row r="112" spans="3:8" x14ac:dyDescent="0.25">
      <c r="C112" s="112">
        <f>IF(NOT(ISBLANK('1.Stresses'!P97)),'1.Stresses'!P97,C111)</f>
        <v>0</v>
      </c>
      <c r="D112" s="112">
        <f>IF(NOT(ISBLANK('1.Stresses'!Q97)),'1.Stresses'!Q97,D111)</f>
        <v>0</v>
      </c>
      <c r="G112" s="112">
        <f>IF(NOT(ISBLANK('1.Stresses'!T97)),'1.Stresses'!T97,G111)</f>
        <v>0</v>
      </c>
      <c r="H112" s="112">
        <f>IF(NOT(ISBLANK('1.Stresses'!U97)),'1.Stresses'!U97,H111)</f>
        <v>17</v>
      </c>
    </row>
    <row r="113" spans="3:8" x14ac:dyDescent="0.25">
      <c r="C113" s="112">
        <f>IF(NOT(ISBLANK('1.Stresses'!P98)),'1.Stresses'!P98,C112)</f>
        <v>0</v>
      </c>
      <c r="D113" s="112">
        <f>IF(NOT(ISBLANK('1.Stresses'!Q98)),'1.Stresses'!Q98,D112)</f>
        <v>0</v>
      </c>
      <c r="G113" s="112">
        <f>IF(NOT(ISBLANK('1.Stresses'!T98)),'1.Stresses'!T98,G112)</f>
        <v>0</v>
      </c>
      <c r="H113" s="112">
        <f>IF(NOT(ISBLANK('1.Stresses'!U98)),'1.Stresses'!U98,H112)</f>
        <v>17</v>
      </c>
    </row>
    <row r="114" spans="3:8" x14ac:dyDescent="0.25">
      <c r="C114" s="112">
        <f>IF(NOT(ISBLANK('1.Stresses'!P99)),'1.Stresses'!P99,C113)</f>
        <v>0</v>
      </c>
      <c r="D114" s="112">
        <f>IF(NOT(ISBLANK('1.Stresses'!Q99)),'1.Stresses'!Q99,D113)</f>
        <v>0</v>
      </c>
      <c r="G114" s="112">
        <f>IF(NOT(ISBLANK('1.Stresses'!T99)),'1.Stresses'!T99,G113)</f>
        <v>0</v>
      </c>
      <c r="H114" s="112">
        <f>IF(NOT(ISBLANK('1.Stresses'!U99)),'1.Stresses'!U99,H113)</f>
        <v>17</v>
      </c>
    </row>
    <row r="115" spans="3:8" x14ac:dyDescent="0.25">
      <c r="C115" s="112">
        <f>IF(NOT(ISBLANK('1.Stresses'!P100)),'1.Stresses'!P100,C114)</f>
        <v>0</v>
      </c>
      <c r="D115" s="112">
        <f>IF(NOT(ISBLANK('1.Stresses'!Q100)),'1.Stresses'!Q100,D114)</f>
        <v>0</v>
      </c>
      <c r="G115" s="112">
        <f>IF(NOT(ISBLANK('1.Stresses'!T100)),'1.Stresses'!T100,G114)</f>
        <v>0</v>
      </c>
      <c r="H115" s="112">
        <f>IF(NOT(ISBLANK('1.Stresses'!U100)),'1.Stresses'!U100,H114)</f>
        <v>17</v>
      </c>
    </row>
    <row r="116" spans="3:8" x14ac:dyDescent="0.25">
      <c r="C116" s="112">
        <f>IF(NOT(ISBLANK('1.Stresses'!P101)),'1.Stresses'!P101,C115)</f>
        <v>0</v>
      </c>
      <c r="D116" s="112">
        <f>IF(NOT(ISBLANK('1.Stresses'!Q101)),'1.Stresses'!Q101,D115)</f>
        <v>0</v>
      </c>
      <c r="G116" s="112">
        <f>IF(NOT(ISBLANK('1.Stresses'!T101)),'1.Stresses'!T101,G115)</f>
        <v>0</v>
      </c>
      <c r="H116" s="112">
        <f>IF(NOT(ISBLANK('1.Stresses'!U101)),'1.Stresses'!U101,H115)</f>
        <v>17</v>
      </c>
    </row>
    <row r="117" spans="3:8" x14ac:dyDescent="0.25">
      <c r="C117" s="112">
        <f>IF(NOT(ISBLANK('1.Stresses'!P102)),'1.Stresses'!P102,C116)</f>
        <v>0</v>
      </c>
      <c r="D117" s="112">
        <f>IF(NOT(ISBLANK('1.Stresses'!Q102)),'1.Stresses'!Q102,D116)</f>
        <v>0</v>
      </c>
      <c r="G117" s="112">
        <f>IF(NOT(ISBLANK('1.Stresses'!T102)),'1.Stresses'!T102,G116)</f>
        <v>0</v>
      </c>
      <c r="H117" s="112">
        <f>IF(NOT(ISBLANK('1.Stresses'!U102)),'1.Stresses'!U102,H116)</f>
        <v>17</v>
      </c>
    </row>
    <row r="118" spans="3:8" x14ac:dyDescent="0.25">
      <c r="C118" s="112">
        <f>IF(NOT(ISBLANK('1.Stresses'!P103)),'1.Stresses'!P103,C117)</f>
        <v>0</v>
      </c>
      <c r="D118" s="112">
        <f>IF(NOT(ISBLANK('1.Stresses'!Q103)),'1.Stresses'!Q103,D117)</f>
        <v>0</v>
      </c>
      <c r="G118" s="112">
        <f>IF(NOT(ISBLANK('1.Stresses'!T103)),'1.Stresses'!T103,G117)</f>
        <v>0</v>
      </c>
      <c r="H118" s="112">
        <f>IF(NOT(ISBLANK('1.Stresses'!U103)),'1.Stresses'!U103,H117)</f>
        <v>17</v>
      </c>
    </row>
    <row r="119" spans="3:8" x14ac:dyDescent="0.25">
      <c r="C119" s="112">
        <f>IF(NOT(ISBLANK('1.Stresses'!P104)),'1.Stresses'!P104,C118)</f>
        <v>0</v>
      </c>
      <c r="D119" s="112">
        <f>IF(NOT(ISBLANK('1.Stresses'!Q104)),'1.Stresses'!Q104,D118)</f>
        <v>0</v>
      </c>
      <c r="G119" s="112">
        <f>IF(NOT(ISBLANK('1.Stresses'!T104)),'1.Stresses'!T104,G118)</f>
        <v>0</v>
      </c>
      <c r="H119" s="112">
        <f>IF(NOT(ISBLANK('1.Stresses'!U104)),'1.Stresses'!U104,H118)</f>
        <v>17</v>
      </c>
    </row>
    <row r="120" spans="3:8" x14ac:dyDescent="0.25">
      <c r="C120" s="112">
        <f>IF(NOT(ISBLANK('1.Stresses'!P105)),'1.Stresses'!P105,C119)</f>
        <v>0</v>
      </c>
      <c r="D120" s="112">
        <f>IF(NOT(ISBLANK('1.Stresses'!Q105)),'1.Stresses'!Q105,D119)</f>
        <v>0</v>
      </c>
      <c r="G120" s="112">
        <f>IF(NOT(ISBLANK('1.Stresses'!T105)),'1.Stresses'!T105,G119)</f>
        <v>0</v>
      </c>
      <c r="H120" s="112">
        <f>IF(NOT(ISBLANK('1.Stresses'!U105)),'1.Stresses'!U105,H119)</f>
        <v>17</v>
      </c>
    </row>
  </sheetData>
  <mergeCells count="4">
    <mergeCell ref="C15:E15"/>
    <mergeCell ref="G15:I15"/>
    <mergeCell ref="C16:D16"/>
    <mergeCell ref="G16:H1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E61F1-CBDB-4267-93BF-B432ED3A0E17}">
  <sheetPr codeName="S_96_pnp_classification">
    <tabColor rgb="FFFF9600"/>
  </sheetPr>
  <dimension ref="A1:AW26"/>
  <sheetViews>
    <sheetView workbookViewId="0">
      <selection sqref="A1:M1"/>
    </sheetView>
  </sheetViews>
  <sheetFormatPr defaultRowHeight="15" x14ac:dyDescent="0.25"/>
  <cols>
    <col min="1" max="1" width="9.140625" style="156"/>
    <col min="12" max="12" width="9.140625" style="123"/>
    <col min="13" max="13" width="9.140625" style="195"/>
  </cols>
  <sheetData>
    <row r="1" spans="1:14" ht="18" x14ac:dyDescent="0.25">
      <c r="A1" s="371" t="s">
        <v>221</v>
      </c>
      <c r="B1" s="372"/>
      <c r="C1" s="372"/>
      <c r="D1" s="372"/>
      <c r="E1" s="372"/>
      <c r="F1" s="372"/>
      <c r="G1" s="372"/>
      <c r="H1" s="372"/>
      <c r="I1" s="372"/>
      <c r="J1" s="372"/>
      <c r="K1" s="372"/>
      <c r="L1" s="372"/>
      <c r="M1" s="373"/>
      <c r="N1" s="141"/>
    </row>
    <row r="2" spans="1:14" x14ac:dyDescent="0.25">
      <c r="A2" s="268" t="s">
        <v>257</v>
      </c>
    </row>
    <row r="3" spans="1:14" x14ac:dyDescent="0.25">
      <c r="A3" s="267">
        <v>14</v>
      </c>
      <c r="B3" s="214">
        <f>'2D class-methods'!E9</f>
        <v>-1</v>
      </c>
      <c r="C3" s="226" t="str">
        <f>'2D class-methods'!F9</f>
        <v>-1.Predrilling</v>
      </c>
    </row>
    <row r="4" spans="1:14" x14ac:dyDescent="0.25">
      <c r="B4" s="214">
        <f>'2D class-methods'!E10</f>
        <v>0</v>
      </c>
      <c r="C4" s="215" t="str">
        <f>'2D class-methods'!F10</f>
        <v>0.Outside model</v>
      </c>
    </row>
    <row r="5" spans="1:14" x14ac:dyDescent="0.25">
      <c r="B5" s="214">
        <f>'2D class-methods'!E11</f>
        <v>1</v>
      </c>
      <c r="C5" s="216" t="str">
        <f>'2D class-methods'!F11</f>
        <v>1.Clay</v>
      </c>
    </row>
    <row r="6" spans="1:14" x14ac:dyDescent="0.25">
      <c r="B6" s="214">
        <f>'2D class-methods'!E12</f>
        <v>2</v>
      </c>
      <c r="C6" s="217" t="str">
        <f>'2D class-methods'!F12</f>
        <v>2.Silty clay</v>
      </c>
    </row>
    <row r="7" spans="1:14" x14ac:dyDescent="0.25">
      <c r="B7" s="214">
        <f>'2D class-methods'!E13</f>
        <v>3</v>
      </c>
      <c r="C7" s="218" t="str">
        <f>'2D class-methods'!F13</f>
        <v>3.Clayey silt</v>
      </c>
    </row>
    <row r="8" spans="1:14" x14ac:dyDescent="0.25">
      <c r="B8" s="214">
        <f>'2D class-methods'!E14</f>
        <v>4</v>
      </c>
      <c r="C8" s="219" t="str">
        <f>'2D class-methods'!F14</f>
        <v>4.Silt</v>
      </c>
    </row>
    <row r="9" spans="1:14" x14ac:dyDescent="0.25">
      <c r="B9" s="214">
        <f>'2D class-methods'!E15</f>
        <v>5</v>
      </c>
      <c r="C9" s="220" t="str">
        <f>'2D class-methods'!F15</f>
        <v>5.Sandy silt</v>
      </c>
    </row>
    <row r="10" spans="1:14" x14ac:dyDescent="0.25">
      <c r="B10" s="214">
        <f>'2D class-methods'!E16</f>
        <v>6</v>
      </c>
      <c r="C10" s="221" t="str">
        <f>'2D class-methods'!F16</f>
        <v>6.Silty sand</v>
      </c>
    </row>
    <row r="11" spans="1:14" x14ac:dyDescent="0.25">
      <c r="B11" s="214">
        <f>'2D class-methods'!E17</f>
        <v>7</v>
      </c>
      <c r="C11" s="222" t="str">
        <f>'2D class-methods'!F17</f>
        <v>7.Sand</v>
      </c>
    </row>
    <row r="12" spans="1:14" x14ac:dyDescent="0.25">
      <c r="B12" s="214">
        <f>'2D class-methods'!E18</f>
        <v>8</v>
      </c>
      <c r="C12" s="223" t="str">
        <f>'2D class-methods'!F18</f>
        <v>8.Gravelly sand</v>
      </c>
    </row>
    <row r="13" spans="1:14" x14ac:dyDescent="0.25">
      <c r="B13" s="214">
        <f>'2D class-methods'!E19</f>
        <v>9</v>
      </c>
      <c r="C13" s="224" t="str">
        <f>'2D class-methods'!F19</f>
        <v>9.Sandy gravel</v>
      </c>
    </row>
    <row r="14" spans="1:14" x14ac:dyDescent="0.25">
      <c r="B14" s="214">
        <f>'2D class-methods'!E20</f>
        <v>10</v>
      </c>
      <c r="C14" s="225" t="str">
        <f>'2D class-methods'!F20</f>
        <v>10.Gravel</v>
      </c>
    </row>
    <row r="15" spans="1:14" x14ac:dyDescent="0.25">
      <c r="B15" s="214"/>
      <c r="L15" s="265" t="s">
        <v>255</v>
      </c>
    </row>
    <row r="16" spans="1:14" x14ac:dyDescent="0.25">
      <c r="L16" s="265" t="str">
        <f>'3.Valsson et al.''24-chart'!X3</f>
        <v>Yes</v>
      </c>
    </row>
    <row r="17" spans="1:49" x14ac:dyDescent="0.25">
      <c r="L17" s="267">
        <f>IF(ISNUMBER(FIND("yes",LOWER(L16))),1,0)</f>
        <v>1</v>
      </c>
    </row>
    <row r="18" spans="1:49" x14ac:dyDescent="0.25">
      <c r="B18" s="123"/>
      <c r="C18" s="123"/>
      <c r="D18" s="123"/>
      <c r="E18" s="123"/>
      <c r="F18" s="123"/>
      <c r="G18" s="123"/>
      <c r="H18" s="123"/>
      <c r="I18" s="123"/>
      <c r="J18" s="123"/>
      <c r="K18" s="123"/>
      <c r="L18" s="265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</row>
    <row r="19" spans="1:49" x14ac:dyDescent="0.25">
      <c r="A19" s="231" t="s">
        <v>236</v>
      </c>
      <c r="B19" s="232">
        <v>0</v>
      </c>
      <c r="C19" s="232">
        <v>1</v>
      </c>
      <c r="D19" s="232">
        <v>2</v>
      </c>
      <c r="E19" s="232">
        <v>3</v>
      </c>
      <c r="F19" s="232">
        <v>4</v>
      </c>
      <c r="G19" s="232">
        <v>5</v>
      </c>
      <c r="H19" s="232">
        <v>6</v>
      </c>
      <c r="I19" s="232">
        <v>7</v>
      </c>
      <c r="J19" s="232">
        <v>8</v>
      </c>
      <c r="K19" s="232">
        <v>9</v>
      </c>
      <c r="L19" s="232">
        <v>10</v>
      </c>
      <c r="M19" s="205" t="s">
        <v>256</v>
      </c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</row>
    <row r="20" spans="1:49" x14ac:dyDescent="0.25">
      <c r="A20" s="230" t="e">
        <f>NA()</f>
        <v>#N/A</v>
      </c>
      <c r="B20" s="212" t="e">
        <f>INT($A20=B$19)</f>
        <v>#N/A</v>
      </c>
      <c r="C20" s="212" t="e">
        <f t="shared" ref="C20:L20" si="0">INT($A20=C$19)</f>
        <v>#N/A</v>
      </c>
      <c r="D20" s="212" t="e">
        <f t="shared" si="0"/>
        <v>#N/A</v>
      </c>
      <c r="E20" s="212" t="e">
        <f t="shared" si="0"/>
        <v>#N/A</v>
      </c>
      <c r="F20" s="212" t="e">
        <f t="shared" si="0"/>
        <v>#N/A</v>
      </c>
      <c r="G20" s="212" t="e">
        <f t="shared" si="0"/>
        <v>#N/A</v>
      </c>
      <c r="H20" s="212" t="e">
        <f t="shared" si="0"/>
        <v>#N/A</v>
      </c>
      <c r="I20" s="212" t="e">
        <f t="shared" si="0"/>
        <v>#N/A</v>
      </c>
      <c r="J20" s="212" t="e">
        <f t="shared" si="0"/>
        <v>#N/A</v>
      </c>
      <c r="K20" s="212" t="e">
        <f t="shared" si="0"/>
        <v>#N/A</v>
      </c>
      <c r="L20" s="266" t="e">
        <f t="shared" si="0"/>
        <v>#N/A</v>
      </c>
      <c r="M20" s="233">
        <f>$L$17*Calculations!AP20</f>
        <v>0</v>
      </c>
    </row>
    <row r="21" spans="1:49" x14ac:dyDescent="0.25">
      <c r="B21" s="212"/>
      <c r="C21" s="212"/>
      <c r="D21" s="212"/>
      <c r="E21" s="212"/>
      <c r="F21" s="212"/>
      <c r="G21" s="212"/>
      <c r="H21" s="212"/>
      <c r="I21" s="212"/>
      <c r="J21" s="212"/>
      <c r="K21" s="212"/>
      <c r="L21" s="266"/>
    </row>
    <row r="22" spans="1:49" x14ac:dyDescent="0.25">
      <c r="B22" s="212"/>
      <c r="C22" s="212"/>
      <c r="D22" s="212"/>
      <c r="E22" s="212"/>
      <c r="F22" s="212"/>
      <c r="G22" s="212"/>
      <c r="H22" s="212"/>
      <c r="I22" s="212"/>
      <c r="J22" s="212"/>
      <c r="K22" s="212"/>
      <c r="L22" s="266"/>
    </row>
    <row r="23" spans="1:49" x14ac:dyDescent="0.25">
      <c r="B23" s="212"/>
      <c r="C23" s="212"/>
      <c r="D23" s="212"/>
      <c r="E23" s="212"/>
      <c r="F23" s="212"/>
      <c r="G23" s="212"/>
      <c r="H23" s="212"/>
      <c r="I23" s="212"/>
      <c r="J23" s="212"/>
      <c r="K23" s="212"/>
      <c r="L23" s="266"/>
    </row>
    <row r="24" spans="1:49" x14ac:dyDescent="0.25">
      <c r="B24" s="212"/>
      <c r="C24" s="212"/>
      <c r="D24" s="212"/>
      <c r="E24" s="212"/>
      <c r="F24" s="212"/>
      <c r="G24" s="212"/>
      <c r="H24" s="212"/>
      <c r="I24" s="212"/>
      <c r="J24" s="212"/>
      <c r="K24" s="212"/>
      <c r="L24" s="266"/>
    </row>
    <row r="25" spans="1:49" x14ac:dyDescent="0.25">
      <c r="B25" s="212"/>
      <c r="C25" s="212"/>
      <c r="D25" s="212"/>
      <c r="E25" s="212"/>
      <c r="F25" s="212"/>
      <c r="G25" s="212"/>
      <c r="H25" s="212"/>
      <c r="I25" s="212"/>
      <c r="J25" s="212"/>
      <c r="K25" s="212"/>
      <c r="L25" s="266"/>
    </row>
    <row r="26" spans="1:49" x14ac:dyDescent="0.25">
      <c r="B26" s="212"/>
      <c r="C26" s="212"/>
      <c r="D26" s="212"/>
      <c r="E26" s="212"/>
      <c r="F26" s="212"/>
      <c r="G26" s="212"/>
      <c r="H26" s="212"/>
      <c r="I26" s="212"/>
      <c r="J26" s="212"/>
      <c r="K26" s="212"/>
      <c r="L26" s="266"/>
    </row>
  </sheetData>
  <mergeCells count="1">
    <mergeCell ref="A1:M1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8C156-B6C3-439D-AAFA-BB936AF27B8A}">
  <sheetPr codeName="S_97_dtw_classification">
    <tabColor rgb="FFFF9600"/>
  </sheetPr>
  <dimension ref="A1:N20"/>
  <sheetViews>
    <sheetView workbookViewId="0">
      <selection sqref="A1:M1"/>
    </sheetView>
  </sheetViews>
  <sheetFormatPr defaultRowHeight="15" x14ac:dyDescent="0.25"/>
  <cols>
    <col min="13" max="13" width="9.140625" style="195"/>
  </cols>
  <sheetData>
    <row r="1" spans="1:14" ht="18" customHeight="1" x14ac:dyDescent="0.25">
      <c r="A1" s="371" t="s">
        <v>265</v>
      </c>
      <c r="B1" s="372"/>
      <c r="C1" s="372"/>
      <c r="D1" s="372"/>
      <c r="E1" s="372"/>
      <c r="F1" s="372"/>
      <c r="G1" s="372"/>
      <c r="H1" s="372"/>
      <c r="I1" s="372"/>
      <c r="J1" s="372"/>
      <c r="K1" s="372"/>
      <c r="L1" s="372"/>
      <c r="M1" s="373"/>
      <c r="N1" s="141"/>
    </row>
    <row r="2" spans="1:14" x14ac:dyDescent="0.25">
      <c r="A2" s="268" t="s">
        <v>257</v>
      </c>
      <c r="B2" s="265"/>
      <c r="C2" s="265"/>
      <c r="D2" s="265"/>
      <c r="E2" s="265"/>
      <c r="F2" s="265"/>
      <c r="G2" s="265"/>
      <c r="H2" s="265"/>
      <c r="I2" s="265"/>
      <c r="J2" s="265"/>
      <c r="K2" s="265"/>
      <c r="L2" s="123"/>
    </row>
    <row r="3" spans="1:14" x14ac:dyDescent="0.25">
      <c r="A3" s="267">
        <v>14</v>
      </c>
      <c r="B3" s="265">
        <f>'2D class-methods'!E9</f>
        <v>-1</v>
      </c>
      <c r="C3" s="226" t="str">
        <f>'2D class-methods'!F9</f>
        <v>-1.Predrilling</v>
      </c>
      <c r="D3" s="265"/>
      <c r="E3" s="265"/>
      <c r="F3" s="265"/>
      <c r="G3" s="265"/>
      <c r="H3" s="265"/>
      <c r="I3" s="265"/>
      <c r="J3" s="265"/>
      <c r="K3" s="265"/>
      <c r="L3" s="123"/>
    </row>
    <row r="4" spans="1:14" x14ac:dyDescent="0.25">
      <c r="A4" s="156"/>
      <c r="B4" s="265">
        <f>'2D class-methods'!E10</f>
        <v>0</v>
      </c>
      <c r="C4" s="215" t="str">
        <f>'2D class-methods'!F10</f>
        <v>0.Outside model</v>
      </c>
      <c r="D4" s="265"/>
      <c r="E4" s="265"/>
      <c r="F4" s="265"/>
      <c r="G4" s="265"/>
      <c r="H4" s="265"/>
      <c r="I4" s="265"/>
      <c r="J4" s="265"/>
      <c r="K4" s="265"/>
      <c r="L4" s="123"/>
    </row>
    <row r="5" spans="1:14" x14ac:dyDescent="0.25">
      <c r="A5" s="156"/>
      <c r="B5" s="265">
        <f>'2D class-methods'!E11</f>
        <v>1</v>
      </c>
      <c r="C5" s="216" t="str">
        <f>'2D class-methods'!F11</f>
        <v>1.Clay</v>
      </c>
      <c r="D5" s="265"/>
      <c r="E5" s="265"/>
      <c r="F5" s="265"/>
      <c r="G5" s="265"/>
      <c r="H5" s="265"/>
      <c r="I5" s="265"/>
      <c r="J5" s="265"/>
      <c r="K5" s="265"/>
      <c r="L5" s="123"/>
    </row>
    <row r="6" spans="1:14" x14ac:dyDescent="0.25">
      <c r="A6" s="156"/>
      <c r="B6" s="265">
        <f>'2D class-methods'!E12</f>
        <v>2</v>
      </c>
      <c r="C6" s="217" t="str">
        <f>'2D class-methods'!F12</f>
        <v>2.Silty clay</v>
      </c>
      <c r="D6" s="265"/>
      <c r="E6" s="265"/>
      <c r="F6" s="265"/>
      <c r="G6" s="265"/>
      <c r="H6" s="265"/>
      <c r="I6" s="265"/>
      <c r="J6" s="265"/>
      <c r="K6" s="265"/>
      <c r="L6" s="123"/>
    </row>
    <row r="7" spans="1:14" x14ac:dyDescent="0.25">
      <c r="A7" s="156"/>
      <c r="B7" s="265">
        <f>'2D class-methods'!E13</f>
        <v>3</v>
      </c>
      <c r="C7" s="218" t="str">
        <f>'2D class-methods'!F13</f>
        <v>3.Clayey silt</v>
      </c>
      <c r="D7" s="265"/>
      <c r="E7" s="265"/>
      <c r="F7" s="265"/>
      <c r="G7" s="265"/>
      <c r="H7" s="265"/>
      <c r="I7" s="265"/>
      <c r="J7" s="265"/>
      <c r="K7" s="265"/>
      <c r="L7" s="123"/>
    </row>
    <row r="8" spans="1:14" x14ac:dyDescent="0.25">
      <c r="A8" s="156"/>
      <c r="B8" s="265">
        <f>'2D class-methods'!E14</f>
        <v>4</v>
      </c>
      <c r="C8" s="219" t="str">
        <f>'2D class-methods'!F14</f>
        <v>4.Silt</v>
      </c>
      <c r="D8" s="265"/>
      <c r="E8" s="265"/>
      <c r="F8" s="265"/>
      <c r="G8" s="265"/>
      <c r="H8" s="265"/>
      <c r="I8" s="265"/>
      <c r="J8" s="265"/>
      <c r="K8" s="265"/>
      <c r="L8" s="123"/>
    </row>
    <row r="9" spans="1:14" x14ac:dyDescent="0.25">
      <c r="A9" s="156"/>
      <c r="B9" s="265">
        <f>'2D class-methods'!E15</f>
        <v>5</v>
      </c>
      <c r="C9" s="220" t="str">
        <f>'2D class-methods'!F15</f>
        <v>5.Sandy silt</v>
      </c>
      <c r="D9" s="265"/>
      <c r="E9" s="265"/>
      <c r="F9" s="265"/>
      <c r="G9" s="265"/>
      <c r="H9" s="265"/>
      <c r="I9" s="265"/>
      <c r="J9" s="265"/>
      <c r="K9" s="265"/>
      <c r="L9" s="123"/>
    </row>
    <row r="10" spans="1:14" x14ac:dyDescent="0.25">
      <c r="A10" s="156"/>
      <c r="B10" s="265">
        <f>'2D class-methods'!E16</f>
        <v>6</v>
      </c>
      <c r="C10" s="221" t="str">
        <f>'2D class-methods'!F16</f>
        <v>6.Silty sand</v>
      </c>
      <c r="D10" s="265"/>
      <c r="E10" s="265"/>
      <c r="F10" s="265"/>
      <c r="G10" s="265"/>
      <c r="H10" s="265"/>
      <c r="I10" s="265"/>
      <c r="J10" s="265"/>
      <c r="K10" s="265"/>
      <c r="L10" s="123"/>
    </row>
    <row r="11" spans="1:14" x14ac:dyDescent="0.25">
      <c r="A11" s="156"/>
      <c r="B11" s="265">
        <f>'2D class-methods'!E17</f>
        <v>7</v>
      </c>
      <c r="C11" s="222" t="str">
        <f>'2D class-methods'!F17</f>
        <v>7.Sand</v>
      </c>
      <c r="D11" s="265"/>
      <c r="E11" s="265"/>
      <c r="F11" s="265"/>
      <c r="G11" s="265"/>
      <c r="H11" s="265"/>
      <c r="I11" s="265"/>
      <c r="J11" s="265"/>
      <c r="K11" s="265"/>
      <c r="L11" s="123"/>
    </row>
    <row r="12" spans="1:14" x14ac:dyDescent="0.25">
      <c r="A12" s="156"/>
      <c r="B12" s="265">
        <f>'2D class-methods'!E18</f>
        <v>8</v>
      </c>
      <c r="C12" s="223" t="str">
        <f>'2D class-methods'!F18</f>
        <v>8.Gravelly sand</v>
      </c>
      <c r="D12" s="265"/>
      <c r="E12" s="265"/>
      <c r="F12" s="265"/>
      <c r="G12" s="265"/>
      <c r="H12" s="265"/>
      <c r="I12" s="265"/>
      <c r="J12" s="265"/>
      <c r="K12" s="265"/>
      <c r="L12" s="123"/>
    </row>
    <row r="13" spans="1:14" x14ac:dyDescent="0.25">
      <c r="A13" s="156"/>
      <c r="B13" s="265">
        <f>'2D class-methods'!E19</f>
        <v>9</v>
      </c>
      <c r="C13" s="224" t="str">
        <f>'2D class-methods'!F19</f>
        <v>9.Sandy gravel</v>
      </c>
      <c r="D13" s="265"/>
      <c r="E13" s="265"/>
      <c r="F13" s="265"/>
      <c r="G13" s="265"/>
      <c r="H13" s="265"/>
      <c r="I13" s="265"/>
      <c r="J13" s="265"/>
      <c r="K13" s="265"/>
      <c r="L13" s="123"/>
    </row>
    <row r="14" spans="1:14" x14ac:dyDescent="0.25">
      <c r="A14" s="156"/>
      <c r="B14" s="265">
        <f>'2D class-methods'!E20</f>
        <v>10</v>
      </c>
      <c r="C14" s="225" t="str">
        <f>'2D class-methods'!F20</f>
        <v>10.Gravel</v>
      </c>
      <c r="D14" s="265"/>
      <c r="E14" s="265"/>
      <c r="F14" s="265"/>
      <c r="G14" s="265"/>
      <c r="H14" s="265"/>
      <c r="I14" s="265"/>
      <c r="J14" s="265"/>
      <c r="K14" s="265"/>
      <c r="L14" s="123"/>
    </row>
    <row r="15" spans="1:14" x14ac:dyDescent="0.25">
      <c r="A15" s="156"/>
      <c r="B15" s="265"/>
      <c r="C15" s="265"/>
      <c r="D15" s="265"/>
      <c r="E15" s="265"/>
      <c r="F15" s="265"/>
      <c r="G15" s="265"/>
      <c r="H15" s="265"/>
      <c r="I15" s="265"/>
      <c r="J15" s="265"/>
      <c r="K15" s="265"/>
      <c r="L15" s="265" t="s">
        <v>255</v>
      </c>
    </row>
    <row r="16" spans="1:14" x14ac:dyDescent="0.25">
      <c r="A16" s="156"/>
      <c r="B16" s="265"/>
      <c r="C16" s="265"/>
      <c r="D16" s="265"/>
      <c r="E16" s="265"/>
      <c r="F16" s="265"/>
      <c r="G16" s="265"/>
      <c r="H16" s="265"/>
      <c r="I16" s="265"/>
      <c r="J16" s="265"/>
      <c r="K16" s="265"/>
      <c r="L16" s="265" t="str">
        <f>'4.Valsson et al.''24-dtw'!X3</f>
        <v>Yes</v>
      </c>
    </row>
    <row r="17" spans="1:13" x14ac:dyDescent="0.25">
      <c r="A17" s="156"/>
      <c r="B17" s="265"/>
      <c r="C17" s="265"/>
      <c r="D17" s="265"/>
      <c r="E17" s="265"/>
      <c r="F17" s="265"/>
      <c r="G17" s="265"/>
      <c r="H17" s="265"/>
      <c r="I17" s="265"/>
      <c r="J17" s="265"/>
      <c r="K17" s="265"/>
      <c r="L17" s="267">
        <f>IF(ISNUMBER(FIND("yes",LOWER(L16))),1,0)</f>
        <v>1</v>
      </c>
    </row>
    <row r="18" spans="1:13" x14ac:dyDescent="0.25">
      <c r="A18" s="156"/>
      <c r="B18" s="123"/>
      <c r="C18" s="123"/>
      <c r="D18" s="123"/>
      <c r="E18" s="123"/>
      <c r="F18" s="123"/>
      <c r="G18" s="123"/>
      <c r="H18" s="123"/>
      <c r="I18" s="123"/>
      <c r="J18" s="123"/>
      <c r="K18" s="123"/>
      <c r="L18" s="265"/>
    </row>
    <row r="19" spans="1:13" s="36" customFormat="1" x14ac:dyDescent="0.25">
      <c r="A19" s="231" t="s">
        <v>236</v>
      </c>
      <c r="B19" s="232">
        <v>0</v>
      </c>
      <c r="C19" s="232">
        <v>1</v>
      </c>
      <c r="D19" s="232">
        <v>2</v>
      </c>
      <c r="E19" s="232">
        <v>3</v>
      </c>
      <c r="F19" s="232">
        <v>4</v>
      </c>
      <c r="G19" s="232">
        <v>5</v>
      </c>
      <c r="H19" s="232">
        <v>6</v>
      </c>
      <c r="I19" s="232">
        <v>7</v>
      </c>
      <c r="J19" s="232">
        <v>8</v>
      </c>
      <c r="K19" s="232">
        <v>9</v>
      </c>
      <c r="L19" s="232">
        <v>10</v>
      </c>
      <c r="M19" s="205" t="s">
        <v>256</v>
      </c>
    </row>
    <row r="20" spans="1:13" x14ac:dyDescent="0.25">
      <c r="A20" s="230" t="e">
        <f>NA()</f>
        <v>#N/A</v>
      </c>
      <c r="B20" s="269" t="e">
        <f>INT($A20=B$19)</f>
        <v>#N/A</v>
      </c>
      <c r="C20" s="269" t="e">
        <f t="shared" ref="C20:L20" si="0">INT($A20=C$19)</f>
        <v>#N/A</v>
      </c>
      <c r="D20" s="269" t="e">
        <f t="shared" si="0"/>
        <v>#N/A</v>
      </c>
      <c r="E20" s="269" t="e">
        <f t="shared" si="0"/>
        <v>#N/A</v>
      </c>
      <c r="F20" s="269" t="e">
        <f t="shared" si="0"/>
        <v>#N/A</v>
      </c>
      <c r="G20" s="269" t="e">
        <f t="shared" si="0"/>
        <v>#N/A</v>
      </c>
      <c r="H20" s="269" t="e">
        <f t="shared" si="0"/>
        <v>#N/A</v>
      </c>
      <c r="I20" s="269" t="e">
        <f t="shared" si="0"/>
        <v>#N/A</v>
      </c>
      <c r="J20" s="269" t="e">
        <f t="shared" si="0"/>
        <v>#N/A</v>
      </c>
      <c r="K20" s="269" t="e">
        <f t="shared" si="0"/>
        <v>#N/A</v>
      </c>
      <c r="L20" s="266" t="e">
        <f t="shared" si="0"/>
        <v>#N/A</v>
      </c>
      <c r="M20" s="233">
        <f>$L$17*Calculations!AP20</f>
        <v>0</v>
      </c>
    </row>
  </sheetData>
  <mergeCells count="1">
    <mergeCell ref="A1:M1"/>
  </mergeCell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A922-F695-41C9-80A1-4F005DB55D54}">
  <sheetPr codeName="S_200_pnp_2D_models">
    <tabColor rgb="FF7030A0"/>
  </sheetPr>
  <dimension ref="A1:AV67"/>
  <sheetViews>
    <sheetView workbookViewId="0">
      <selection sqref="A1:H1"/>
    </sheetView>
  </sheetViews>
  <sheetFormatPr defaultRowHeight="15" x14ac:dyDescent="0.25"/>
  <cols>
    <col min="1" max="3" width="9" customWidth="1"/>
    <col min="4" max="4" width="2.7109375" style="265" customWidth="1"/>
    <col min="5" max="6" width="9" customWidth="1"/>
    <col min="7" max="7" width="9" style="265" customWidth="1"/>
    <col min="8" max="8" width="2.7109375" style="195" customWidth="1"/>
    <col min="9" max="11" width="9" customWidth="1"/>
    <col min="12" max="12" width="2.7109375" customWidth="1"/>
    <col min="13" max="15" width="9" customWidth="1"/>
    <col min="16" max="16" width="2.7109375" style="195" customWidth="1"/>
    <col min="17" max="17" width="9" customWidth="1"/>
    <col min="18" max="19" width="9" style="123" customWidth="1"/>
    <col min="20" max="20" width="2.7109375" style="123" customWidth="1"/>
    <col min="21" max="23" width="9" style="123" customWidth="1"/>
    <col min="24" max="24" width="2.7109375" style="195" customWidth="1"/>
    <col min="25" max="27" width="9" style="123" customWidth="1"/>
    <col min="28" max="28" width="2.7109375" customWidth="1"/>
    <col min="29" max="31" width="9" customWidth="1"/>
    <col min="32" max="32" width="2.7109375" style="195" customWidth="1"/>
    <col min="33" max="35" width="9" customWidth="1"/>
    <col min="36" max="36" width="2.7109375" customWidth="1"/>
    <col min="37" max="39" width="9" customWidth="1"/>
    <col min="40" max="40" width="2.7109375" style="195" customWidth="1"/>
    <col min="41" max="43" width="9" customWidth="1"/>
    <col min="44" max="44" width="2.7109375" customWidth="1"/>
    <col min="45" max="47" width="9" customWidth="1"/>
    <col min="48" max="48" width="2.7109375" style="195" customWidth="1"/>
  </cols>
  <sheetData>
    <row r="1" spans="1:48" ht="18" x14ac:dyDescent="0.25">
      <c r="A1" s="371" t="s">
        <v>221</v>
      </c>
      <c r="B1" s="372"/>
      <c r="C1" s="372"/>
      <c r="D1" s="372"/>
      <c r="E1" s="372"/>
      <c r="F1" s="372"/>
      <c r="G1" s="372"/>
      <c r="H1" s="372"/>
      <c r="I1" s="374"/>
      <c r="J1" s="374"/>
      <c r="K1" s="374"/>
      <c r="L1" s="374"/>
      <c r="M1" s="374"/>
      <c r="N1" s="374"/>
      <c r="O1" s="374"/>
      <c r="P1" s="375"/>
      <c r="Q1" s="371"/>
      <c r="R1" s="372"/>
      <c r="S1" s="372"/>
      <c r="T1" s="372"/>
      <c r="U1" s="372"/>
      <c r="V1" s="372"/>
      <c r="W1" s="372"/>
      <c r="X1" s="372"/>
      <c r="Y1" s="374"/>
      <c r="Z1" s="374"/>
      <c r="AA1" s="374"/>
      <c r="AB1" s="374"/>
      <c r="AC1" s="374"/>
      <c r="AD1" s="374"/>
      <c r="AE1" s="374"/>
      <c r="AF1" s="375"/>
      <c r="AG1" s="371"/>
      <c r="AH1" s="372"/>
      <c r="AI1" s="372"/>
      <c r="AJ1" s="372"/>
      <c r="AK1" s="372"/>
      <c r="AL1" s="372"/>
      <c r="AM1" s="372"/>
      <c r="AN1" s="372"/>
      <c r="AO1" s="374"/>
      <c r="AP1" s="374"/>
      <c r="AQ1" s="374"/>
      <c r="AR1" s="374"/>
      <c r="AS1" s="374"/>
      <c r="AT1" s="374"/>
      <c r="AU1" s="374"/>
      <c r="AV1" s="375"/>
    </row>
    <row r="2" spans="1:48" x14ac:dyDescent="0.25">
      <c r="A2" s="376" t="s">
        <v>215</v>
      </c>
      <c r="B2" s="377"/>
      <c r="C2" s="210">
        <v>37</v>
      </c>
      <c r="E2" s="265"/>
      <c r="F2" s="265"/>
    </row>
    <row r="3" spans="1:48" x14ac:dyDescent="0.25">
      <c r="A3" s="376" t="s">
        <v>216</v>
      </c>
      <c r="B3" s="377"/>
      <c r="C3" s="210">
        <v>38</v>
      </c>
      <c r="E3" s="265"/>
      <c r="F3" s="265"/>
      <c r="I3" s="265"/>
      <c r="J3" s="265"/>
    </row>
    <row r="4" spans="1:48" x14ac:dyDescent="0.25">
      <c r="A4" s="378" t="s">
        <v>217</v>
      </c>
      <c r="B4" s="377"/>
      <c r="C4" s="210">
        <v>1</v>
      </c>
      <c r="E4" s="265"/>
      <c r="F4" s="265"/>
      <c r="I4" s="214"/>
      <c r="J4" s="214"/>
    </row>
    <row r="5" spans="1:48" x14ac:dyDescent="0.25">
      <c r="I5" s="214"/>
      <c r="J5" s="214"/>
    </row>
    <row r="6" spans="1:48" x14ac:dyDescent="0.25">
      <c r="I6" s="214"/>
      <c r="J6" s="214"/>
    </row>
    <row r="7" spans="1:48" x14ac:dyDescent="0.25">
      <c r="A7" s="214"/>
      <c r="B7" s="212" t="s">
        <v>186</v>
      </c>
      <c r="C7" s="212" t="s">
        <v>187</v>
      </c>
      <c r="E7" s="214"/>
    </row>
    <row r="8" spans="1:48" ht="18" x14ac:dyDescent="0.35">
      <c r="A8" s="213"/>
      <c r="B8" s="212" t="s">
        <v>218</v>
      </c>
      <c r="C8" s="212" t="s">
        <v>194</v>
      </c>
    </row>
    <row r="9" spans="1:48" x14ac:dyDescent="0.25">
      <c r="A9" s="213"/>
      <c r="B9" s="212" t="s">
        <v>53</v>
      </c>
      <c r="C9" s="212" t="s">
        <v>9</v>
      </c>
      <c r="E9">
        <v>-1</v>
      </c>
      <c r="F9" s="393" t="s">
        <v>225</v>
      </c>
      <c r="G9" s="394"/>
    </row>
    <row r="10" spans="1:48" ht="15" customHeight="1" x14ac:dyDescent="0.25">
      <c r="B10" s="227" t="s">
        <v>219</v>
      </c>
      <c r="C10" s="227" t="s">
        <v>219</v>
      </c>
      <c r="E10">
        <v>0</v>
      </c>
      <c r="F10" s="395" t="s">
        <v>226</v>
      </c>
      <c r="G10" s="396"/>
    </row>
    <row r="11" spans="1:48" x14ac:dyDescent="0.25">
      <c r="A11" s="212">
        <v>1</v>
      </c>
      <c r="B11" s="212">
        <v>0.1</v>
      </c>
      <c r="C11" s="212">
        <v>3.5000000000000003E-2</v>
      </c>
      <c r="E11">
        <v>1</v>
      </c>
      <c r="F11" s="397" t="s">
        <v>227</v>
      </c>
      <c r="G11" s="398"/>
    </row>
    <row r="12" spans="1:48" x14ac:dyDescent="0.25">
      <c r="A12" s="212"/>
      <c r="B12" s="212">
        <v>8</v>
      </c>
      <c r="C12" s="212">
        <v>0.2</v>
      </c>
      <c r="E12">
        <v>2</v>
      </c>
      <c r="F12" s="399" t="s">
        <v>228</v>
      </c>
      <c r="G12" s="400"/>
    </row>
    <row r="13" spans="1:48" x14ac:dyDescent="0.25">
      <c r="A13" s="212"/>
      <c r="B13" s="212">
        <v>9</v>
      </c>
      <c r="C13" s="212">
        <v>0.04</v>
      </c>
      <c r="E13">
        <v>3</v>
      </c>
      <c r="F13" s="401" t="s">
        <v>229</v>
      </c>
      <c r="G13" s="402"/>
    </row>
    <row r="14" spans="1:48" x14ac:dyDescent="0.25">
      <c r="A14" s="212"/>
      <c r="B14" s="212">
        <v>90</v>
      </c>
      <c r="C14" s="212">
        <v>0.25</v>
      </c>
      <c r="D14" s="264"/>
      <c r="E14" s="214">
        <v>4</v>
      </c>
      <c r="F14" s="383" t="s">
        <v>230</v>
      </c>
      <c r="G14" s="384"/>
    </row>
    <row r="15" spans="1:48" x14ac:dyDescent="0.25">
      <c r="A15" s="212"/>
      <c r="B15" s="212">
        <v>4000</v>
      </c>
      <c r="C15" s="212">
        <v>1E-3</v>
      </c>
      <c r="D15" s="264"/>
      <c r="E15" s="214">
        <v>5</v>
      </c>
      <c r="F15" s="385" t="s">
        <v>231</v>
      </c>
      <c r="G15" s="386"/>
    </row>
    <row r="16" spans="1:48" x14ac:dyDescent="0.25">
      <c r="A16" s="212"/>
      <c r="B16" s="212">
        <v>0.1</v>
      </c>
      <c r="C16" s="212">
        <v>1E-3</v>
      </c>
      <c r="D16" s="264"/>
      <c r="E16" s="214">
        <v>6</v>
      </c>
      <c r="F16" s="387" t="s">
        <v>489</v>
      </c>
      <c r="G16" s="388"/>
    </row>
    <row r="17" spans="1:7" x14ac:dyDescent="0.25">
      <c r="A17" s="212"/>
      <c r="B17" s="212">
        <v>0.1</v>
      </c>
      <c r="C17" s="212">
        <v>3.5000000000000003E-2</v>
      </c>
      <c r="D17" s="264"/>
      <c r="E17" s="214">
        <v>7</v>
      </c>
      <c r="F17" s="389" t="s">
        <v>232</v>
      </c>
      <c r="G17" s="390"/>
    </row>
    <row r="18" spans="1:7" x14ac:dyDescent="0.25">
      <c r="A18" s="212">
        <v>2</v>
      </c>
      <c r="B18" s="212">
        <v>8</v>
      </c>
      <c r="C18" s="212">
        <v>0.2</v>
      </c>
      <c r="D18" s="264"/>
      <c r="E18" s="214">
        <v>8</v>
      </c>
      <c r="F18" s="391" t="s">
        <v>233</v>
      </c>
      <c r="G18" s="392"/>
    </row>
    <row r="19" spans="1:7" x14ac:dyDescent="0.25">
      <c r="A19" s="212"/>
      <c r="B19" s="212">
        <v>70</v>
      </c>
      <c r="C19" s="212">
        <v>0.5</v>
      </c>
      <c r="D19" s="264"/>
      <c r="E19" s="214">
        <v>9</v>
      </c>
      <c r="F19" s="379" t="s">
        <v>234</v>
      </c>
      <c r="G19" s="380"/>
    </row>
    <row r="20" spans="1:7" x14ac:dyDescent="0.25">
      <c r="A20" s="212"/>
      <c r="B20" s="212">
        <v>90</v>
      </c>
      <c r="C20" s="212">
        <v>0.25</v>
      </c>
      <c r="D20" s="264"/>
      <c r="E20" s="214">
        <v>10</v>
      </c>
      <c r="F20" s="381" t="s">
        <v>235</v>
      </c>
      <c r="G20" s="382"/>
    </row>
    <row r="21" spans="1:7" x14ac:dyDescent="0.25">
      <c r="A21" s="212"/>
      <c r="B21" s="212">
        <v>9</v>
      </c>
      <c r="C21" s="212">
        <v>0.04</v>
      </c>
      <c r="D21" s="264"/>
    </row>
    <row r="22" spans="1:7" x14ac:dyDescent="0.25">
      <c r="A22" s="212"/>
      <c r="B22" s="212">
        <v>8</v>
      </c>
      <c r="C22" s="212">
        <v>0.2</v>
      </c>
      <c r="D22" s="264"/>
    </row>
    <row r="23" spans="1:7" x14ac:dyDescent="0.25">
      <c r="A23" s="212">
        <v>3</v>
      </c>
      <c r="B23" s="212">
        <v>15</v>
      </c>
      <c r="C23" s="212">
        <v>1.1499999999999999</v>
      </c>
      <c r="D23" s="264"/>
    </row>
    <row r="24" spans="1:7" x14ac:dyDescent="0.25">
      <c r="A24" s="212"/>
      <c r="B24" s="212">
        <v>85</v>
      </c>
      <c r="C24" s="212">
        <v>0.96</v>
      </c>
      <c r="D24" s="264"/>
    </row>
    <row r="25" spans="1:7" x14ac:dyDescent="0.25">
      <c r="A25" s="212"/>
      <c r="B25" s="212">
        <v>70</v>
      </c>
      <c r="C25" s="212">
        <v>0.5</v>
      </c>
      <c r="D25" s="264"/>
    </row>
    <row r="26" spans="1:7" x14ac:dyDescent="0.25">
      <c r="A26" s="212"/>
      <c r="B26" s="212">
        <v>8</v>
      </c>
      <c r="C26" s="212">
        <v>0.2</v>
      </c>
      <c r="D26" s="264"/>
    </row>
    <row r="27" spans="1:7" x14ac:dyDescent="0.25">
      <c r="A27" s="212"/>
      <c r="B27" s="212">
        <v>15</v>
      </c>
      <c r="C27" s="212">
        <v>1.1499999999999999</v>
      </c>
      <c r="D27" s="264"/>
    </row>
    <row r="28" spans="1:7" x14ac:dyDescent="0.25">
      <c r="A28" s="212">
        <v>4</v>
      </c>
      <c r="B28" s="212">
        <v>0.1</v>
      </c>
      <c r="C28" s="212">
        <v>1.9</v>
      </c>
      <c r="D28" s="264"/>
    </row>
    <row r="29" spans="1:7" x14ac:dyDescent="0.25">
      <c r="A29" s="212"/>
      <c r="B29" s="212">
        <v>15</v>
      </c>
      <c r="C29" s="212">
        <v>1.1499999999999999</v>
      </c>
      <c r="D29" s="264"/>
    </row>
    <row r="30" spans="1:7" x14ac:dyDescent="0.25">
      <c r="A30" s="212"/>
      <c r="B30" s="212">
        <v>8</v>
      </c>
      <c r="C30" s="212">
        <v>0.2</v>
      </c>
      <c r="D30" s="264"/>
    </row>
    <row r="31" spans="1:7" x14ac:dyDescent="0.25">
      <c r="A31" s="212"/>
      <c r="B31" s="212">
        <v>0.1</v>
      </c>
      <c r="C31" s="212">
        <v>3.5000000000000003E-2</v>
      </c>
      <c r="D31" s="264"/>
    </row>
    <row r="32" spans="1:7" x14ac:dyDescent="0.25">
      <c r="A32" s="212"/>
      <c r="B32" s="212">
        <v>0.1</v>
      </c>
      <c r="C32" s="212">
        <v>1.9</v>
      </c>
      <c r="D32" s="264"/>
    </row>
    <row r="33" spans="1:4" x14ac:dyDescent="0.25">
      <c r="A33" s="212">
        <v>5</v>
      </c>
      <c r="B33" s="212">
        <v>0.1</v>
      </c>
      <c r="C33" s="212">
        <v>100</v>
      </c>
      <c r="D33" s="264"/>
    </row>
    <row r="34" spans="1:4" x14ac:dyDescent="0.25">
      <c r="A34" s="212"/>
      <c r="B34" s="212">
        <v>10</v>
      </c>
      <c r="C34" s="212">
        <v>100</v>
      </c>
      <c r="D34" s="264"/>
    </row>
    <row r="35" spans="1:4" x14ac:dyDescent="0.25">
      <c r="A35" s="212"/>
      <c r="B35" s="212">
        <v>120</v>
      </c>
      <c r="C35" s="212">
        <v>1.2</v>
      </c>
      <c r="D35" s="264"/>
    </row>
    <row r="36" spans="1:4" x14ac:dyDescent="0.25">
      <c r="A36" s="212"/>
      <c r="B36" s="212">
        <v>85</v>
      </c>
      <c r="C36" s="212">
        <v>0.96</v>
      </c>
      <c r="D36" s="264"/>
    </row>
    <row r="37" spans="1:4" x14ac:dyDescent="0.25">
      <c r="A37" s="212"/>
      <c r="B37" s="212">
        <v>15</v>
      </c>
      <c r="C37" s="212">
        <v>1.1499999999999999</v>
      </c>
      <c r="D37" s="264"/>
    </row>
    <row r="38" spans="1:4" x14ac:dyDescent="0.25">
      <c r="A38" s="212"/>
      <c r="B38" s="212">
        <v>0.1</v>
      </c>
      <c r="C38" s="212">
        <v>1.9</v>
      </c>
      <c r="D38" s="264"/>
    </row>
    <row r="39" spans="1:4" x14ac:dyDescent="0.25">
      <c r="A39" s="212"/>
      <c r="B39" s="212">
        <v>0.1</v>
      </c>
      <c r="C39" s="212">
        <v>100</v>
      </c>
      <c r="D39" s="264"/>
    </row>
    <row r="40" spans="1:4" x14ac:dyDescent="0.25">
      <c r="A40" s="212">
        <v>6</v>
      </c>
      <c r="B40" s="212">
        <v>85</v>
      </c>
      <c r="C40" s="212">
        <v>0.96</v>
      </c>
      <c r="D40" s="264"/>
    </row>
    <row r="41" spans="1:4" x14ac:dyDescent="0.25">
      <c r="A41" s="212"/>
      <c r="B41" s="212">
        <v>120</v>
      </c>
      <c r="C41" s="212">
        <v>1.2</v>
      </c>
      <c r="D41" s="264"/>
    </row>
    <row r="42" spans="1:4" x14ac:dyDescent="0.25">
      <c r="A42" s="212"/>
      <c r="B42" s="212">
        <v>340</v>
      </c>
      <c r="C42" s="212">
        <v>1.8</v>
      </c>
      <c r="D42" s="264"/>
    </row>
    <row r="43" spans="1:4" x14ac:dyDescent="0.25">
      <c r="A43" s="212"/>
      <c r="B43" s="212">
        <v>300</v>
      </c>
      <c r="C43" s="212">
        <v>0.7</v>
      </c>
      <c r="D43" s="264"/>
    </row>
    <row r="44" spans="1:4" x14ac:dyDescent="0.25">
      <c r="A44" s="212"/>
      <c r="B44" s="212">
        <v>70</v>
      </c>
      <c r="C44" s="212">
        <v>0.5</v>
      </c>
      <c r="D44" s="264"/>
    </row>
    <row r="45" spans="1:4" x14ac:dyDescent="0.25">
      <c r="A45" s="212"/>
      <c r="B45" s="212">
        <v>85</v>
      </c>
      <c r="C45" s="212">
        <v>0.96</v>
      </c>
      <c r="D45" s="264"/>
    </row>
    <row r="46" spans="1:4" x14ac:dyDescent="0.25">
      <c r="A46" s="212">
        <v>7</v>
      </c>
      <c r="B46" s="212">
        <v>70</v>
      </c>
      <c r="C46" s="212">
        <v>0.5</v>
      </c>
      <c r="D46" s="264"/>
    </row>
    <row r="47" spans="1:4" x14ac:dyDescent="0.25">
      <c r="A47" s="212"/>
      <c r="B47" s="212">
        <v>300</v>
      </c>
      <c r="C47" s="212">
        <v>0.7</v>
      </c>
      <c r="D47" s="264"/>
    </row>
    <row r="48" spans="1:4" x14ac:dyDescent="0.25">
      <c r="A48" s="212"/>
      <c r="B48" s="212">
        <v>10000</v>
      </c>
      <c r="C48" s="212">
        <v>0.08</v>
      </c>
      <c r="D48" s="264"/>
    </row>
    <row r="49" spans="1:4" x14ac:dyDescent="0.25">
      <c r="A49" s="212"/>
      <c r="B49" s="212">
        <v>10000</v>
      </c>
      <c r="C49" s="212">
        <v>1E-3</v>
      </c>
      <c r="D49" s="264"/>
    </row>
    <row r="50" spans="1:4" x14ac:dyDescent="0.25">
      <c r="A50" s="212"/>
      <c r="B50" s="212">
        <v>4000</v>
      </c>
      <c r="C50" s="212">
        <v>1E-3</v>
      </c>
      <c r="D50" s="264"/>
    </row>
    <row r="51" spans="1:4" x14ac:dyDescent="0.25">
      <c r="A51" s="212"/>
      <c r="B51" s="212">
        <v>90</v>
      </c>
      <c r="C51" s="212">
        <v>0.25</v>
      </c>
      <c r="D51" s="264"/>
    </row>
    <row r="52" spans="1:4" x14ac:dyDescent="0.25">
      <c r="A52" s="212"/>
      <c r="B52" s="212">
        <v>70</v>
      </c>
      <c r="C52" s="212">
        <v>0.5</v>
      </c>
      <c r="D52" s="264"/>
    </row>
    <row r="53" spans="1:4" x14ac:dyDescent="0.25">
      <c r="A53" s="212">
        <v>8</v>
      </c>
      <c r="B53" s="212">
        <v>340</v>
      </c>
      <c r="C53" s="212">
        <v>1.8</v>
      </c>
      <c r="D53" s="264"/>
    </row>
    <row r="54" spans="1:4" x14ac:dyDescent="0.25">
      <c r="A54" s="212"/>
      <c r="B54" s="212">
        <v>10000</v>
      </c>
      <c r="C54" s="212">
        <v>3</v>
      </c>
      <c r="D54" s="264"/>
    </row>
    <row r="55" spans="1:4" x14ac:dyDescent="0.25">
      <c r="A55" s="212"/>
      <c r="B55" s="212">
        <v>10000</v>
      </c>
      <c r="C55" s="212">
        <v>0.08</v>
      </c>
      <c r="D55" s="264"/>
    </row>
    <row r="56" spans="1:4" x14ac:dyDescent="0.25">
      <c r="A56" s="212"/>
      <c r="B56" s="212">
        <v>300</v>
      </c>
      <c r="C56" s="212">
        <v>0.7</v>
      </c>
      <c r="D56" s="264"/>
    </row>
    <row r="57" spans="1:4" x14ac:dyDescent="0.25">
      <c r="A57" s="212"/>
      <c r="B57" s="212">
        <v>340</v>
      </c>
      <c r="C57" s="212">
        <v>1.8</v>
      </c>
      <c r="D57" s="264"/>
    </row>
    <row r="58" spans="1:4" x14ac:dyDescent="0.25">
      <c r="A58" s="212">
        <v>9</v>
      </c>
      <c r="B58" s="212">
        <v>620</v>
      </c>
      <c r="C58" s="212">
        <v>100</v>
      </c>
      <c r="D58" s="264"/>
    </row>
    <row r="59" spans="1:4" x14ac:dyDescent="0.25">
      <c r="A59" s="212"/>
      <c r="B59" s="212">
        <v>10000</v>
      </c>
      <c r="C59" s="212">
        <v>100</v>
      </c>
      <c r="D59" s="264"/>
    </row>
    <row r="60" spans="1:4" x14ac:dyDescent="0.25">
      <c r="A60" s="212"/>
      <c r="B60" s="212">
        <v>10000</v>
      </c>
      <c r="C60" s="212">
        <v>3</v>
      </c>
      <c r="D60" s="264"/>
    </row>
    <row r="61" spans="1:4" x14ac:dyDescent="0.25">
      <c r="A61" s="212"/>
      <c r="B61" s="212">
        <v>340</v>
      </c>
      <c r="C61" s="212">
        <v>1.8</v>
      </c>
      <c r="D61" s="264"/>
    </row>
    <row r="62" spans="1:4" x14ac:dyDescent="0.25">
      <c r="A62" s="212"/>
      <c r="B62" s="212">
        <v>620</v>
      </c>
      <c r="C62" s="212">
        <v>100</v>
      </c>
      <c r="D62" s="264"/>
    </row>
    <row r="63" spans="1:4" x14ac:dyDescent="0.25">
      <c r="A63" s="212">
        <v>10</v>
      </c>
      <c r="B63" s="212">
        <v>10</v>
      </c>
      <c r="C63" s="212">
        <v>100</v>
      </c>
      <c r="D63" s="264"/>
    </row>
    <row r="64" spans="1:4" x14ac:dyDescent="0.25">
      <c r="A64" s="212"/>
      <c r="B64" s="212">
        <v>620</v>
      </c>
      <c r="C64" s="212">
        <v>100</v>
      </c>
      <c r="D64" s="264"/>
    </row>
    <row r="65" spans="1:4" x14ac:dyDescent="0.25">
      <c r="A65" s="212"/>
      <c r="B65" s="212">
        <v>340</v>
      </c>
      <c r="C65" s="212">
        <v>1.8</v>
      </c>
      <c r="D65" s="264"/>
    </row>
    <row r="66" spans="1:4" x14ac:dyDescent="0.25">
      <c r="A66" s="212"/>
      <c r="B66" s="212">
        <v>120</v>
      </c>
      <c r="C66" s="212">
        <v>1.2</v>
      </c>
      <c r="D66" s="264"/>
    </row>
    <row r="67" spans="1:4" x14ac:dyDescent="0.25">
      <c r="A67" s="212"/>
      <c r="B67" s="212">
        <v>10</v>
      </c>
      <c r="C67" s="212">
        <v>100</v>
      </c>
      <c r="D67" s="264"/>
    </row>
  </sheetData>
  <mergeCells count="21">
    <mergeCell ref="AO1:AV1"/>
    <mergeCell ref="F19:G19"/>
    <mergeCell ref="F20:G20"/>
    <mergeCell ref="Q1:X1"/>
    <mergeCell ref="Y1:AF1"/>
    <mergeCell ref="AG1:AN1"/>
    <mergeCell ref="F14:G14"/>
    <mergeCell ref="F15:G15"/>
    <mergeCell ref="F16:G16"/>
    <mergeCell ref="F17:G17"/>
    <mergeCell ref="F18:G18"/>
    <mergeCell ref="F9:G9"/>
    <mergeCell ref="F10:G10"/>
    <mergeCell ref="F11:G11"/>
    <mergeCell ref="F12:G12"/>
    <mergeCell ref="F13:G13"/>
    <mergeCell ref="I1:P1"/>
    <mergeCell ref="A1:H1"/>
    <mergeCell ref="A2:B2"/>
    <mergeCell ref="A3:B3"/>
    <mergeCell ref="A4:B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read_file_btn">
              <controlPr defaultSize="0" print="0" autoFill="0" autoPict="0" macro="[0]!classify_PNP_2D">
                <anchor moveWithCells="1" sizeWithCells="1">
                  <from>
                    <xdr:col>10</xdr:col>
                    <xdr:colOff>228600</xdr:colOff>
                    <xdr:row>3</xdr:row>
                    <xdr:rowOff>28575</xdr:rowOff>
                  </from>
                  <to>
                    <xdr:col>13</xdr:col>
                    <xdr:colOff>76200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6C72C-9741-4839-9914-1A1C26C483A0}">
  <sheetPr codeName="S_201_dtw_knn_models">
    <tabColor rgb="FF7030A0"/>
  </sheetPr>
  <dimension ref="A1:AV210"/>
  <sheetViews>
    <sheetView workbookViewId="0">
      <selection sqref="A1:H1"/>
    </sheetView>
  </sheetViews>
  <sheetFormatPr defaultRowHeight="15" x14ac:dyDescent="0.25"/>
  <cols>
    <col min="1" max="3" width="9" style="265" customWidth="1"/>
    <col min="4" max="4" width="2.7109375" style="265" customWidth="1"/>
    <col min="5" max="7" width="9" style="265" customWidth="1"/>
    <col min="8" max="8" width="2.7109375" style="195" customWidth="1"/>
    <col min="9" max="11" width="9" style="265" customWidth="1"/>
    <col min="12" max="12" width="2.7109375" style="265" customWidth="1"/>
    <col min="13" max="15" width="9" style="265" customWidth="1"/>
    <col min="16" max="16" width="2.7109375" style="195" customWidth="1"/>
    <col min="17" max="17" width="9" style="265" customWidth="1"/>
    <col min="18" max="19" width="9" style="123" customWidth="1"/>
    <col min="20" max="20" width="2.7109375" style="123" customWidth="1"/>
    <col min="21" max="23" width="9" style="123" customWidth="1"/>
    <col min="24" max="24" width="2.7109375" style="195" customWidth="1"/>
    <col min="25" max="27" width="9" style="123" customWidth="1"/>
    <col min="28" max="28" width="2.7109375" style="265" customWidth="1"/>
    <col min="29" max="31" width="9" style="265" customWidth="1"/>
    <col min="32" max="32" width="2.7109375" style="195" customWidth="1"/>
    <col min="33" max="35" width="9" style="265" customWidth="1"/>
    <col min="36" max="36" width="2.7109375" style="265" customWidth="1"/>
    <col min="37" max="39" width="9" style="265" customWidth="1"/>
    <col min="40" max="40" width="2.7109375" style="195" customWidth="1"/>
    <col min="41" max="43" width="9" style="265" customWidth="1"/>
    <col min="44" max="44" width="2.7109375" style="265" customWidth="1"/>
    <col min="45" max="47" width="9" style="265" customWidth="1"/>
    <col min="48" max="48" width="2.7109375" style="195" customWidth="1"/>
    <col min="49" max="16384" width="9.140625" style="265"/>
  </cols>
  <sheetData>
    <row r="1" spans="1:48" ht="18" customHeight="1" x14ac:dyDescent="0.25">
      <c r="A1" s="371" t="s">
        <v>265</v>
      </c>
      <c r="B1" s="418"/>
      <c r="C1" s="418"/>
      <c r="D1" s="418"/>
      <c r="E1" s="418"/>
      <c r="F1" s="418"/>
      <c r="G1" s="418"/>
      <c r="H1" s="418"/>
      <c r="I1" s="374"/>
      <c r="J1" s="374"/>
      <c r="K1" s="374"/>
      <c r="L1" s="374"/>
      <c r="M1" s="374"/>
      <c r="N1" s="374"/>
      <c r="O1" s="374"/>
      <c r="P1" s="375"/>
      <c r="Q1" s="371"/>
      <c r="R1" s="372"/>
      <c r="S1" s="372"/>
      <c r="T1" s="372"/>
      <c r="U1" s="372"/>
      <c r="V1" s="372"/>
      <c r="W1" s="372"/>
      <c r="X1" s="372"/>
      <c r="Y1" s="374"/>
      <c r="Z1" s="374"/>
      <c r="AA1" s="374"/>
      <c r="AB1" s="374"/>
      <c r="AC1" s="374"/>
      <c r="AD1" s="374"/>
      <c r="AE1" s="374"/>
      <c r="AF1" s="375"/>
      <c r="AG1" s="371"/>
      <c r="AH1" s="372"/>
      <c r="AI1" s="372"/>
      <c r="AJ1" s="372"/>
      <c r="AK1" s="372"/>
      <c r="AL1" s="372"/>
      <c r="AM1" s="372"/>
      <c r="AN1" s="372"/>
      <c r="AO1" s="374"/>
      <c r="AP1" s="374"/>
      <c r="AQ1" s="374"/>
      <c r="AR1" s="374"/>
      <c r="AS1" s="374"/>
      <c r="AT1" s="374"/>
      <c r="AU1" s="374"/>
      <c r="AV1" s="375"/>
    </row>
    <row r="2" spans="1:48" x14ac:dyDescent="0.25">
      <c r="A2" s="412" t="s">
        <v>215</v>
      </c>
      <c r="B2" s="413"/>
      <c r="C2" s="210">
        <v>36</v>
      </c>
      <c r="F2" s="265" t="str">
        <f>'4.Valsson et al.''24-dtw'!T12</f>
        <v>k</v>
      </c>
      <c r="G2" s="288">
        <f>'4.Valsson et al.''24-dtw'!U12</f>
        <v>17</v>
      </c>
    </row>
    <row r="3" spans="1:48" x14ac:dyDescent="0.25">
      <c r="A3" s="414" t="s">
        <v>217</v>
      </c>
      <c r="B3" s="413"/>
      <c r="C3" s="210">
        <v>1</v>
      </c>
      <c r="F3" s="265" t="str">
        <f>'4.Valsson et al.''24-dtw'!T13</f>
        <v>w</v>
      </c>
      <c r="G3" s="288">
        <f>'4.Valsson et al.''24-dtw'!U13</f>
        <v>20</v>
      </c>
    </row>
    <row r="4" spans="1:48" x14ac:dyDescent="0.25">
      <c r="F4" s="265" t="str">
        <f>'4.Valsson et al.''24-dtw'!T14</f>
        <v>r</v>
      </c>
      <c r="G4" s="227">
        <f>'4.Valsson et al.''24-dtw'!U14</f>
        <v>20</v>
      </c>
    </row>
    <row r="5" spans="1:48" x14ac:dyDescent="0.25">
      <c r="F5" s="265" t="str">
        <f>'4.Valsson et al.''24-dtw'!T19</f>
        <v>ΔD method</v>
      </c>
      <c r="G5" s="227">
        <f>'4.Valsson et al.''24-dtw'!U19</f>
        <v>2.5000000000000001E-2</v>
      </c>
    </row>
    <row r="8" spans="1:48" x14ac:dyDescent="0.25">
      <c r="B8" s="269"/>
    </row>
    <row r="9" spans="1:48" ht="18" x14ac:dyDescent="0.35">
      <c r="A9" s="213" t="s">
        <v>264</v>
      </c>
      <c r="B9" s="269" t="s">
        <v>263</v>
      </c>
      <c r="E9" s="265">
        <v>-1</v>
      </c>
      <c r="F9" s="415" t="s">
        <v>225</v>
      </c>
      <c r="G9" s="394"/>
    </row>
    <row r="10" spans="1:48" ht="15" customHeight="1" x14ac:dyDescent="0.25">
      <c r="B10" s="269" t="s">
        <v>53</v>
      </c>
      <c r="E10" s="265">
        <v>0</v>
      </c>
      <c r="F10" s="416" t="s">
        <v>226</v>
      </c>
      <c r="G10" s="396"/>
    </row>
    <row r="11" spans="1:48" x14ac:dyDescent="0.25">
      <c r="A11" s="265">
        <v>1</v>
      </c>
      <c r="B11" s="265" t="s">
        <v>289</v>
      </c>
      <c r="C11" s="265" t="s">
        <v>490</v>
      </c>
      <c r="E11" s="265">
        <v>1</v>
      </c>
      <c r="F11" s="417" t="s">
        <v>227</v>
      </c>
      <c r="G11" s="398"/>
    </row>
    <row r="12" spans="1:48" x14ac:dyDescent="0.25">
      <c r="A12" s="265">
        <v>1</v>
      </c>
      <c r="B12" s="265" t="s">
        <v>290</v>
      </c>
      <c r="C12" s="265" t="s">
        <v>490</v>
      </c>
      <c r="E12" s="265">
        <v>2</v>
      </c>
      <c r="F12" s="406" t="s">
        <v>228</v>
      </c>
      <c r="G12" s="400"/>
    </row>
    <row r="13" spans="1:48" x14ac:dyDescent="0.25">
      <c r="A13" s="265">
        <v>1</v>
      </c>
      <c r="B13" s="265" t="s">
        <v>291</v>
      </c>
      <c r="C13" s="265" t="s">
        <v>490</v>
      </c>
      <c r="E13" s="265">
        <v>3</v>
      </c>
      <c r="F13" s="407" t="s">
        <v>229</v>
      </c>
      <c r="G13" s="402"/>
    </row>
    <row r="14" spans="1:48" x14ac:dyDescent="0.25">
      <c r="A14" s="265">
        <v>1</v>
      </c>
      <c r="B14" s="265" t="s">
        <v>292</v>
      </c>
      <c r="C14" s="265" t="s">
        <v>490</v>
      </c>
      <c r="E14" s="265">
        <v>4</v>
      </c>
      <c r="F14" s="408" t="s">
        <v>230</v>
      </c>
      <c r="G14" s="384"/>
    </row>
    <row r="15" spans="1:48" x14ac:dyDescent="0.25">
      <c r="A15" s="265">
        <v>1</v>
      </c>
      <c r="B15" s="265" t="s">
        <v>293</v>
      </c>
      <c r="C15" s="265" t="s">
        <v>490</v>
      </c>
      <c r="E15" s="265">
        <v>5</v>
      </c>
      <c r="F15" s="409" t="s">
        <v>231</v>
      </c>
      <c r="G15" s="386"/>
    </row>
    <row r="16" spans="1:48" x14ac:dyDescent="0.25">
      <c r="A16" s="265">
        <v>1</v>
      </c>
      <c r="B16" s="265" t="s">
        <v>294</v>
      </c>
      <c r="C16" s="265" t="s">
        <v>490</v>
      </c>
      <c r="E16" s="265">
        <v>6</v>
      </c>
      <c r="F16" s="410" t="s">
        <v>489</v>
      </c>
      <c r="G16" s="388"/>
    </row>
    <row r="17" spans="1:7" x14ac:dyDescent="0.25">
      <c r="A17" s="265">
        <v>1</v>
      </c>
      <c r="B17" s="265" t="s">
        <v>295</v>
      </c>
      <c r="C17" s="265" t="s">
        <v>490</v>
      </c>
      <c r="E17" s="265">
        <v>7</v>
      </c>
      <c r="F17" s="411" t="s">
        <v>232</v>
      </c>
      <c r="G17" s="390"/>
    </row>
    <row r="18" spans="1:7" x14ac:dyDescent="0.25">
      <c r="A18" s="265">
        <v>1</v>
      </c>
      <c r="B18" s="265" t="s">
        <v>296</v>
      </c>
      <c r="C18" s="265" t="s">
        <v>490</v>
      </c>
      <c r="E18" s="265">
        <v>8</v>
      </c>
      <c r="F18" s="403" t="s">
        <v>233</v>
      </c>
      <c r="G18" s="392"/>
    </row>
    <row r="19" spans="1:7" x14ac:dyDescent="0.25">
      <c r="A19" s="265">
        <v>1</v>
      </c>
      <c r="B19" s="265" t="s">
        <v>297</v>
      </c>
      <c r="C19" s="265" t="s">
        <v>490</v>
      </c>
      <c r="E19" s="265">
        <v>9</v>
      </c>
      <c r="F19" s="404" t="s">
        <v>234</v>
      </c>
      <c r="G19" s="380"/>
    </row>
    <row r="20" spans="1:7" x14ac:dyDescent="0.25">
      <c r="A20" s="265">
        <v>1</v>
      </c>
      <c r="B20" s="265" t="s">
        <v>298</v>
      </c>
      <c r="C20" s="265" t="s">
        <v>490</v>
      </c>
      <c r="E20" s="265">
        <v>10</v>
      </c>
      <c r="F20" s="405" t="s">
        <v>235</v>
      </c>
      <c r="G20" s="382"/>
    </row>
    <row r="21" spans="1:7" x14ac:dyDescent="0.25">
      <c r="A21" s="265">
        <v>1</v>
      </c>
      <c r="B21" s="265" t="s">
        <v>299</v>
      </c>
      <c r="C21" s="265" t="s">
        <v>490</v>
      </c>
    </row>
    <row r="22" spans="1:7" x14ac:dyDescent="0.25">
      <c r="A22" s="265">
        <v>1</v>
      </c>
      <c r="B22" s="265" t="s">
        <v>300</v>
      </c>
      <c r="C22" s="265" t="s">
        <v>490</v>
      </c>
    </row>
    <row r="23" spans="1:7" x14ac:dyDescent="0.25">
      <c r="A23" s="265">
        <v>1</v>
      </c>
      <c r="B23" s="265" t="s">
        <v>301</v>
      </c>
      <c r="C23" s="265" t="s">
        <v>490</v>
      </c>
    </row>
    <row r="24" spans="1:7" x14ac:dyDescent="0.25">
      <c r="A24" s="265">
        <v>1</v>
      </c>
      <c r="B24" s="265" t="s">
        <v>302</v>
      </c>
      <c r="C24" s="265" t="s">
        <v>490</v>
      </c>
    </row>
    <row r="25" spans="1:7" x14ac:dyDescent="0.25">
      <c r="A25" s="265">
        <v>1</v>
      </c>
      <c r="B25" s="265" t="s">
        <v>303</v>
      </c>
      <c r="C25" s="265" t="s">
        <v>490</v>
      </c>
    </row>
    <row r="26" spans="1:7" x14ac:dyDescent="0.25">
      <c r="A26" s="265">
        <v>1</v>
      </c>
      <c r="B26" s="265" t="s">
        <v>304</v>
      </c>
      <c r="C26" s="265" t="s">
        <v>490</v>
      </c>
    </row>
    <row r="27" spans="1:7" x14ac:dyDescent="0.25">
      <c r="A27" s="265">
        <v>1</v>
      </c>
      <c r="B27" s="265" t="s">
        <v>305</v>
      </c>
      <c r="C27" s="265" t="s">
        <v>490</v>
      </c>
    </row>
    <row r="28" spans="1:7" x14ac:dyDescent="0.25">
      <c r="A28" s="265">
        <v>1</v>
      </c>
      <c r="B28" s="265" t="s">
        <v>306</v>
      </c>
      <c r="C28" s="265" t="s">
        <v>490</v>
      </c>
    </row>
    <row r="29" spans="1:7" x14ac:dyDescent="0.25">
      <c r="A29" s="265">
        <v>1</v>
      </c>
      <c r="B29" s="265" t="s">
        <v>307</v>
      </c>
      <c r="C29" s="265" t="s">
        <v>490</v>
      </c>
    </row>
    <row r="30" spans="1:7" x14ac:dyDescent="0.25">
      <c r="A30" s="265">
        <v>1</v>
      </c>
      <c r="B30" s="265" t="s">
        <v>308</v>
      </c>
      <c r="C30" s="265" t="s">
        <v>490</v>
      </c>
    </row>
    <row r="31" spans="1:7" x14ac:dyDescent="0.25">
      <c r="A31" s="265">
        <v>2</v>
      </c>
      <c r="B31" s="265" t="s">
        <v>309</v>
      </c>
      <c r="C31" s="265" t="s">
        <v>490</v>
      </c>
    </row>
    <row r="32" spans="1:7" x14ac:dyDescent="0.25">
      <c r="A32" s="265">
        <v>2</v>
      </c>
      <c r="B32" s="265" t="s">
        <v>310</v>
      </c>
      <c r="C32" s="265" t="s">
        <v>490</v>
      </c>
    </row>
    <row r="33" spans="1:3" x14ac:dyDescent="0.25">
      <c r="A33" s="265">
        <v>2</v>
      </c>
      <c r="B33" s="265" t="s">
        <v>311</v>
      </c>
      <c r="C33" s="265" t="s">
        <v>490</v>
      </c>
    </row>
    <row r="34" spans="1:3" x14ac:dyDescent="0.25">
      <c r="A34" s="265">
        <v>2</v>
      </c>
      <c r="B34" s="265" t="s">
        <v>312</v>
      </c>
      <c r="C34" s="265" t="s">
        <v>490</v>
      </c>
    </row>
    <row r="35" spans="1:3" x14ac:dyDescent="0.25">
      <c r="A35" s="265">
        <v>2</v>
      </c>
      <c r="B35" s="265" t="s">
        <v>313</v>
      </c>
      <c r="C35" s="265" t="s">
        <v>490</v>
      </c>
    </row>
    <row r="36" spans="1:3" x14ac:dyDescent="0.25">
      <c r="A36" s="265">
        <v>2</v>
      </c>
      <c r="B36" s="265" t="s">
        <v>314</v>
      </c>
      <c r="C36" s="265" t="s">
        <v>490</v>
      </c>
    </row>
    <row r="37" spans="1:3" x14ac:dyDescent="0.25">
      <c r="A37" s="265">
        <v>2</v>
      </c>
      <c r="B37" s="265" t="s">
        <v>315</v>
      </c>
      <c r="C37" s="265" t="s">
        <v>490</v>
      </c>
    </row>
    <row r="38" spans="1:3" x14ac:dyDescent="0.25">
      <c r="A38" s="265">
        <v>2</v>
      </c>
      <c r="B38" s="265" t="s">
        <v>316</v>
      </c>
      <c r="C38" s="265" t="s">
        <v>490</v>
      </c>
    </row>
    <row r="39" spans="1:3" x14ac:dyDescent="0.25">
      <c r="A39" s="265">
        <v>2</v>
      </c>
      <c r="B39" s="265" t="s">
        <v>317</v>
      </c>
      <c r="C39" s="265" t="s">
        <v>490</v>
      </c>
    </row>
    <row r="40" spans="1:3" x14ac:dyDescent="0.25">
      <c r="A40" s="265">
        <v>2</v>
      </c>
      <c r="B40" s="265" t="s">
        <v>318</v>
      </c>
      <c r="C40" s="265" t="s">
        <v>490</v>
      </c>
    </row>
    <row r="41" spans="1:3" x14ac:dyDescent="0.25">
      <c r="A41" s="265">
        <v>2</v>
      </c>
      <c r="B41" s="265" t="s">
        <v>319</v>
      </c>
      <c r="C41" s="265" t="s">
        <v>490</v>
      </c>
    </row>
    <row r="42" spans="1:3" x14ac:dyDescent="0.25">
      <c r="A42" s="265">
        <v>2</v>
      </c>
      <c r="B42" s="265" t="s">
        <v>320</v>
      </c>
      <c r="C42" s="265" t="s">
        <v>490</v>
      </c>
    </row>
    <row r="43" spans="1:3" x14ac:dyDescent="0.25">
      <c r="A43" s="265">
        <v>2</v>
      </c>
      <c r="B43" s="265" t="s">
        <v>321</v>
      </c>
      <c r="C43" s="265" t="s">
        <v>490</v>
      </c>
    </row>
    <row r="44" spans="1:3" x14ac:dyDescent="0.25">
      <c r="A44" s="265">
        <v>2</v>
      </c>
      <c r="B44" s="265" t="s">
        <v>322</v>
      </c>
      <c r="C44" s="265" t="s">
        <v>490</v>
      </c>
    </row>
    <row r="45" spans="1:3" x14ac:dyDescent="0.25">
      <c r="A45" s="265">
        <v>2</v>
      </c>
      <c r="B45" s="265" t="s">
        <v>323</v>
      </c>
      <c r="C45" s="265" t="s">
        <v>490</v>
      </c>
    </row>
    <row r="46" spans="1:3" x14ac:dyDescent="0.25">
      <c r="A46" s="265">
        <v>2</v>
      </c>
      <c r="B46" s="265" t="s">
        <v>324</v>
      </c>
      <c r="C46" s="265" t="s">
        <v>490</v>
      </c>
    </row>
    <row r="47" spans="1:3" x14ac:dyDescent="0.25">
      <c r="A47" s="265">
        <v>2</v>
      </c>
      <c r="B47" s="265" t="s">
        <v>325</v>
      </c>
      <c r="C47" s="265" t="s">
        <v>490</v>
      </c>
    </row>
    <row r="48" spans="1:3" x14ac:dyDescent="0.25">
      <c r="A48" s="265">
        <v>2</v>
      </c>
      <c r="B48" s="265" t="s">
        <v>326</v>
      </c>
      <c r="C48" s="265" t="s">
        <v>490</v>
      </c>
    </row>
    <row r="49" spans="1:3" x14ac:dyDescent="0.25">
      <c r="A49" s="265">
        <v>2</v>
      </c>
      <c r="B49" s="265" t="s">
        <v>327</v>
      </c>
      <c r="C49" s="265" t="s">
        <v>490</v>
      </c>
    </row>
    <row r="50" spans="1:3" x14ac:dyDescent="0.25">
      <c r="A50" s="265">
        <v>2</v>
      </c>
      <c r="B50" s="265" t="s">
        <v>328</v>
      </c>
      <c r="C50" s="265" t="s">
        <v>490</v>
      </c>
    </row>
    <row r="51" spans="1:3" x14ac:dyDescent="0.25">
      <c r="A51" s="265">
        <v>3</v>
      </c>
      <c r="B51" s="265" t="s">
        <v>329</v>
      </c>
      <c r="C51" s="265" t="s">
        <v>490</v>
      </c>
    </row>
    <row r="52" spans="1:3" x14ac:dyDescent="0.25">
      <c r="A52" s="265">
        <v>3</v>
      </c>
      <c r="B52" s="265" t="s">
        <v>330</v>
      </c>
      <c r="C52" s="265" t="s">
        <v>490</v>
      </c>
    </row>
    <row r="53" spans="1:3" x14ac:dyDescent="0.25">
      <c r="A53" s="265">
        <v>3</v>
      </c>
      <c r="B53" s="265" t="s">
        <v>331</v>
      </c>
      <c r="C53" s="265" t="s">
        <v>490</v>
      </c>
    </row>
    <row r="54" spans="1:3" x14ac:dyDescent="0.25">
      <c r="A54" s="265">
        <v>3</v>
      </c>
      <c r="B54" s="265" t="s">
        <v>332</v>
      </c>
      <c r="C54" s="265" t="s">
        <v>490</v>
      </c>
    </row>
    <row r="55" spans="1:3" x14ac:dyDescent="0.25">
      <c r="A55" s="265">
        <v>3</v>
      </c>
      <c r="B55" s="265" t="s">
        <v>333</v>
      </c>
      <c r="C55" s="265" t="s">
        <v>490</v>
      </c>
    </row>
    <row r="56" spans="1:3" x14ac:dyDescent="0.25">
      <c r="A56" s="265">
        <v>3</v>
      </c>
      <c r="B56" s="265" t="s">
        <v>334</v>
      </c>
      <c r="C56" s="265" t="s">
        <v>490</v>
      </c>
    </row>
    <row r="57" spans="1:3" x14ac:dyDescent="0.25">
      <c r="A57" s="265">
        <v>3</v>
      </c>
      <c r="B57" s="265" t="s">
        <v>335</v>
      </c>
      <c r="C57" s="265" t="s">
        <v>490</v>
      </c>
    </row>
    <row r="58" spans="1:3" x14ac:dyDescent="0.25">
      <c r="A58" s="265">
        <v>3</v>
      </c>
      <c r="B58" s="265" t="s">
        <v>336</v>
      </c>
      <c r="C58" s="265" t="s">
        <v>490</v>
      </c>
    </row>
    <row r="59" spans="1:3" x14ac:dyDescent="0.25">
      <c r="A59" s="265">
        <v>3</v>
      </c>
      <c r="B59" s="265" t="s">
        <v>337</v>
      </c>
      <c r="C59" s="265" t="s">
        <v>490</v>
      </c>
    </row>
    <row r="60" spans="1:3" x14ac:dyDescent="0.25">
      <c r="A60" s="265">
        <v>3</v>
      </c>
      <c r="B60" s="265" t="s">
        <v>338</v>
      </c>
      <c r="C60" s="265" t="s">
        <v>490</v>
      </c>
    </row>
    <row r="61" spans="1:3" x14ac:dyDescent="0.25">
      <c r="A61" s="265">
        <v>3</v>
      </c>
      <c r="B61" s="265" t="s">
        <v>339</v>
      </c>
      <c r="C61" s="265" t="s">
        <v>490</v>
      </c>
    </row>
    <row r="62" spans="1:3" x14ac:dyDescent="0.25">
      <c r="A62" s="265">
        <v>3</v>
      </c>
      <c r="B62" s="265" t="s">
        <v>340</v>
      </c>
      <c r="C62" s="265" t="s">
        <v>490</v>
      </c>
    </row>
    <row r="63" spans="1:3" x14ac:dyDescent="0.25">
      <c r="A63" s="265">
        <v>3</v>
      </c>
      <c r="B63" s="265" t="s">
        <v>341</v>
      </c>
      <c r="C63" s="265" t="s">
        <v>490</v>
      </c>
    </row>
    <row r="64" spans="1:3" x14ac:dyDescent="0.25">
      <c r="A64" s="265">
        <v>3</v>
      </c>
      <c r="B64" s="265" t="s">
        <v>342</v>
      </c>
      <c r="C64" s="265" t="s">
        <v>490</v>
      </c>
    </row>
    <row r="65" spans="1:3" x14ac:dyDescent="0.25">
      <c r="A65" s="265">
        <v>3</v>
      </c>
      <c r="B65" s="265" t="s">
        <v>343</v>
      </c>
      <c r="C65" s="265" t="s">
        <v>490</v>
      </c>
    </row>
    <row r="66" spans="1:3" x14ac:dyDescent="0.25">
      <c r="A66" s="265">
        <v>3</v>
      </c>
      <c r="B66" s="265" t="s">
        <v>344</v>
      </c>
      <c r="C66" s="265" t="s">
        <v>490</v>
      </c>
    </row>
    <row r="67" spans="1:3" x14ac:dyDescent="0.25">
      <c r="A67" s="265">
        <v>3</v>
      </c>
      <c r="B67" s="265" t="s">
        <v>345</v>
      </c>
      <c r="C67" s="265" t="s">
        <v>490</v>
      </c>
    </row>
    <row r="68" spans="1:3" x14ac:dyDescent="0.25">
      <c r="A68" s="265">
        <v>3</v>
      </c>
      <c r="B68" s="265" t="s">
        <v>346</v>
      </c>
      <c r="C68" s="265" t="s">
        <v>490</v>
      </c>
    </row>
    <row r="69" spans="1:3" x14ac:dyDescent="0.25">
      <c r="A69" s="265">
        <v>3</v>
      </c>
      <c r="B69" s="265" t="s">
        <v>347</v>
      </c>
      <c r="C69" s="265" t="s">
        <v>490</v>
      </c>
    </row>
    <row r="70" spans="1:3" x14ac:dyDescent="0.25">
      <c r="A70" s="265">
        <v>3</v>
      </c>
      <c r="B70" s="265" t="s">
        <v>348</v>
      </c>
      <c r="C70" s="265" t="s">
        <v>490</v>
      </c>
    </row>
    <row r="71" spans="1:3" x14ac:dyDescent="0.25">
      <c r="A71" s="265">
        <v>4</v>
      </c>
      <c r="B71" s="265" t="s">
        <v>349</v>
      </c>
      <c r="C71" s="265" t="s">
        <v>490</v>
      </c>
    </row>
    <row r="72" spans="1:3" x14ac:dyDescent="0.25">
      <c r="A72" s="265">
        <v>4</v>
      </c>
      <c r="B72" s="265" t="s">
        <v>350</v>
      </c>
      <c r="C72" s="265" t="s">
        <v>490</v>
      </c>
    </row>
    <row r="73" spans="1:3" x14ac:dyDescent="0.25">
      <c r="A73" s="265">
        <v>4</v>
      </c>
      <c r="B73" s="265" t="s">
        <v>351</v>
      </c>
      <c r="C73" s="265" t="s">
        <v>490</v>
      </c>
    </row>
    <row r="74" spans="1:3" x14ac:dyDescent="0.25">
      <c r="A74" s="265">
        <v>4</v>
      </c>
      <c r="B74" s="265" t="s">
        <v>352</v>
      </c>
      <c r="C74" s="265" t="s">
        <v>490</v>
      </c>
    </row>
    <row r="75" spans="1:3" x14ac:dyDescent="0.25">
      <c r="A75" s="265">
        <v>4</v>
      </c>
      <c r="B75" s="265" t="s">
        <v>353</v>
      </c>
      <c r="C75" s="265" t="s">
        <v>490</v>
      </c>
    </row>
    <row r="76" spans="1:3" x14ac:dyDescent="0.25">
      <c r="A76" s="265">
        <v>4</v>
      </c>
      <c r="B76" s="265" t="s">
        <v>354</v>
      </c>
      <c r="C76" s="265" t="s">
        <v>490</v>
      </c>
    </row>
    <row r="77" spans="1:3" x14ac:dyDescent="0.25">
      <c r="A77" s="265">
        <v>4</v>
      </c>
      <c r="B77" s="265" t="s">
        <v>355</v>
      </c>
      <c r="C77" s="265" t="s">
        <v>490</v>
      </c>
    </row>
    <row r="78" spans="1:3" x14ac:dyDescent="0.25">
      <c r="A78" s="265">
        <v>4</v>
      </c>
      <c r="B78" s="265" t="s">
        <v>356</v>
      </c>
      <c r="C78" s="265" t="s">
        <v>490</v>
      </c>
    </row>
    <row r="79" spans="1:3" x14ac:dyDescent="0.25">
      <c r="A79" s="265">
        <v>4</v>
      </c>
      <c r="B79" s="265" t="s">
        <v>357</v>
      </c>
      <c r="C79" s="265" t="s">
        <v>490</v>
      </c>
    </row>
    <row r="80" spans="1:3" x14ac:dyDescent="0.25">
      <c r="A80" s="265">
        <v>4</v>
      </c>
      <c r="B80" s="265" t="s">
        <v>358</v>
      </c>
      <c r="C80" s="265" t="s">
        <v>490</v>
      </c>
    </row>
    <row r="81" spans="1:3" x14ac:dyDescent="0.25">
      <c r="A81" s="265">
        <v>4</v>
      </c>
      <c r="B81" s="265" t="s">
        <v>359</v>
      </c>
      <c r="C81" s="265" t="s">
        <v>490</v>
      </c>
    </row>
    <row r="82" spans="1:3" x14ac:dyDescent="0.25">
      <c r="A82" s="265">
        <v>4</v>
      </c>
      <c r="B82" s="265" t="s">
        <v>360</v>
      </c>
      <c r="C82" s="265" t="s">
        <v>490</v>
      </c>
    </row>
    <row r="83" spans="1:3" x14ac:dyDescent="0.25">
      <c r="A83" s="265">
        <v>4</v>
      </c>
      <c r="B83" s="265" t="s">
        <v>361</v>
      </c>
      <c r="C83" s="265" t="s">
        <v>490</v>
      </c>
    </row>
    <row r="84" spans="1:3" x14ac:dyDescent="0.25">
      <c r="A84" s="265">
        <v>4</v>
      </c>
      <c r="B84" s="265" t="s">
        <v>362</v>
      </c>
      <c r="C84" s="265" t="s">
        <v>490</v>
      </c>
    </row>
    <row r="85" spans="1:3" x14ac:dyDescent="0.25">
      <c r="A85" s="265">
        <v>4</v>
      </c>
      <c r="B85" s="265" t="s">
        <v>363</v>
      </c>
      <c r="C85" s="265" t="s">
        <v>490</v>
      </c>
    </row>
    <row r="86" spans="1:3" x14ac:dyDescent="0.25">
      <c r="A86" s="265">
        <v>4</v>
      </c>
      <c r="B86" s="265" t="s">
        <v>364</v>
      </c>
      <c r="C86" s="265" t="s">
        <v>490</v>
      </c>
    </row>
    <row r="87" spans="1:3" x14ac:dyDescent="0.25">
      <c r="A87" s="265">
        <v>4</v>
      </c>
      <c r="B87" s="265" t="s">
        <v>365</v>
      </c>
      <c r="C87" s="265" t="s">
        <v>490</v>
      </c>
    </row>
    <row r="88" spans="1:3" x14ac:dyDescent="0.25">
      <c r="A88" s="265">
        <v>4</v>
      </c>
      <c r="B88" s="265" t="s">
        <v>366</v>
      </c>
      <c r="C88" s="265" t="s">
        <v>490</v>
      </c>
    </row>
    <row r="89" spans="1:3" x14ac:dyDescent="0.25">
      <c r="A89" s="265">
        <v>4</v>
      </c>
      <c r="B89" s="265" t="s">
        <v>367</v>
      </c>
      <c r="C89" s="265" t="s">
        <v>490</v>
      </c>
    </row>
    <row r="90" spans="1:3" x14ac:dyDescent="0.25">
      <c r="A90" s="265">
        <v>4</v>
      </c>
      <c r="B90" s="265" t="s">
        <v>368</v>
      </c>
      <c r="C90" s="265" t="s">
        <v>490</v>
      </c>
    </row>
    <row r="91" spans="1:3" x14ac:dyDescent="0.25">
      <c r="A91" s="265">
        <v>5</v>
      </c>
      <c r="B91" s="265" t="s">
        <v>369</v>
      </c>
      <c r="C91" s="265" t="s">
        <v>490</v>
      </c>
    </row>
    <row r="92" spans="1:3" x14ac:dyDescent="0.25">
      <c r="A92" s="265">
        <v>5</v>
      </c>
      <c r="B92" s="265" t="s">
        <v>370</v>
      </c>
      <c r="C92" s="265" t="s">
        <v>490</v>
      </c>
    </row>
    <row r="93" spans="1:3" x14ac:dyDescent="0.25">
      <c r="A93" s="265">
        <v>5</v>
      </c>
      <c r="B93" s="265" t="s">
        <v>371</v>
      </c>
      <c r="C93" s="265" t="s">
        <v>490</v>
      </c>
    </row>
    <row r="94" spans="1:3" x14ac:dyDescent="0.25">
      <c r="A94" s="265">
        <v>5</v>
      </c>
      <c r="B94" s="265" t="s">
        <v>372</v>
      </c>
      <c r="C94" s="265" t="s">
        <v>490</v>
      </c>
    </row>
    <row r="95" spans="1:3" x14ac:dyDescent="0.25">
      <c r="A95" s="265">
        <v>5</v>
      </c>
      <c r="B95" s="265" t="s">
        <v>373</v>
      </c>
      <c r="C95" s="265" t="s">
        <v>490</v>
      </c>
    </row>
    <row r="96" spans="1:3" x14ac:dyDescent="0.25">
      <c r="A96" s="265">
        <v>5</v>
      </c>
      <c r="B96" s="265" t="s">
        <v>374</v>
      </c>
      <c r="C96" s="265" t="s">
        <v>490</v>
      </c>
    </row>
    <row r="97" spans="1:3" x14ac:dyDescent="0.25">
      <c r="A97" s="265">
        <v>5</v>
      </c>
      <c r="B97" s="265" t="s">
        <v>375</v>
      </c>
      <c r="C97" s="265" t="s">
        <v>490</v>
      </c>
    </row>
    <row r="98" spans="1:3" x14ac:dyDescent="0.25">
      <c r="A98" s="265">
        <v>5</v>
      </c>
      <c r="B98" s="265" t="s">
        <v>376</v>
      </c>
      <c r="C98" s="265" t="s">
        <v>490</v>
      </c>
    </row>
    <row r="99" spans="1:3" x14ac:dyDescent="0.25">
      <c r="A99" s="265">
        <v>5</v>
      </c>
      <c r="B99" s="265" t="s">
        <v>377</v>
      </c>
      <c r="C99" s="265" t="s">
        <v>490</v>
      </c>
    </row>
    <row r="100" spans="1:3" x14ac:dyDescent="0.25">
      <c r="A100" s="265">
        <v>5</v>
      </c>
      <c r="B100" s="265" t="s">
        <v>378</v>
      </c>
      <c r="C100" s="265" t="s">
        <v>490</v>
      </c>
    </row>
    <row r="101" spans="1:3" x14ac:dyDescent="0.25">
      <c r="A101" s="265">
        <v>5</v>
      </c>
      <c r="B101" s="265" t="s">
        <v>379</v>
      </c>
      <c r="C101" s="265" t="s">
        <v>490</v>
      </c>
    </row>
    <row r="102" spans="1:3" x14ac:dyDescent="0.25">
      <c r="A102" s="265">
        <v>5</v>
      </c>
      <c r="B102" s="265" t="s">
        <v>380</v>
      </c>
      <c r="C102" s="265" t="s">
        <v>490</v>
      </c>
    </row>
    <row r="103" spans="1:3" x14ac:dyDescent="0.25">
      <c r="A103" s="265">
        <v>5</v>
      </c>
      <c r="B103" s="265" t="s">
        <v>381</v>
      </c>
      <c r="C103" s="265" t="s">
        <v>490</v>
      </c>
    </row>
    <row r="104" spans="1:3" x14ac:dyDescent="0.25">
      <c r="A104" s="265">
        <v>5</v>
      </c>
      <c r="B104" s="265" t="s">
        <v>382</v>
      </c>
      <c r="C104" s="265" t="s">
        <v>490</v>
      </c>
    </row>
    <row r="105" spans="1:3" x14ac:dyDescent="0.25">
      <c r="A105" s="265">
        <v>5</v>
      </c>
      <c r="B105" s="265" t="s">
        <v>383</v>
      </c>
      <c r="C105" s="265" t="s">
        <v>490</v>
      </c>
    </row>
    <row r="106" spans="1:3" x14ac:dyDescent="0.25">
      <c r="A106" s="265">
        <v>5</v>
      </c>
      <c r="B106" s="265" t="s">
        <v>384</v>
      </c>
      <c r="C106" s="265" t="s">
        <v>490</v>
      </c>
    </row>
    <row r="107" spans="1:3" x14ac:dyDescent="0.25">
      <c r="A107" s="265">
        <v>5</v>
      </c>
      <c r="B107" s="265" t="s">
        <v>385</v>
      </c>
      <c r="C107" s="265" t="s">
        <v>490</v>
      </c>
    </row>
    <row r="108" spans="1:3" x14ac:dyDescent="0.25">
      <c r="A108" s="265">
        <v>5</v>
      </c>
      <c r="B108" s="265" t="s">
        <v>386</v>
      </c>
      <c r="C108" s="265" t="s">
        <v>490</v>
      </c>
    </row>
    <row r="109" spans="1:3" x14ac:dyDescent="0.25">
      <c r="A109" s="265">
        <v>5</v>
      </c>
      <c r="B109" s="265" t="s">
        <v>387</v>
      </c>
      <c r="C109" s="265" t="s">
        <v>490</v>
      </c>
    </row>
    <row r="110" spans="1:3" x14ac:dyDescent="0.25">
      <c r="A110" s="265">
        <v>5</v>
      </c>
      <c r="B110" s="265" t="s">
        <v>388</v>
      </c>
      <c r="C110" s="265" t="s">
        <v>490</v>
      </c>
    </row>
    <row r="111" spans="1:3" x14ac:dyDescent="0.25">
      <c r="A111" s="265">
        <v>6</v>
      </c>
      <c r="B111" s="265" t="s">
        <v>389</v>
      </c>
      <c r="C111" s="265" t="s">
        <v>490</v>
      </c>
    </row>
    <row r="112" spans="1:3" x14ac:dyDescent="0.25">
      <c r="A112" s="265">
        <v>6</v>
      </c>
      <c r="B112" s="265" t="s">
        <v>390</v>
      </c>
      <c r="C112" s="265" t="s">
        <v>490</v>
      </c>
    </row>
    <row r="113" spans="1:3" x14ac:dyDescent="0.25">
      <c r="A113" s="265">
        <v>6</v>
      </c>
      <c r="B113" s="265" t="s">
        <v>391</v>
      </c>
      <c r="C113" s="265" t="s">
        <v>490</v>
      </c>
    </row>
    <row r="114" spans="1:3" x14ac:dyDescent="0.25">
      <c r="A114" s="265">
        <v>6</v>
      </c>
      <c r="B114" s="265" t="s">
        <v>392</v>
      </c>
      <c r="C114" s="265" t="s">
        <v>490</v>
      </c>
    </row>
    <row r="115" spans="1:3" x14ac:dyDescent="0.25">
      <c r="A115" s="265">
        <v>6</v>
      </c>
      <c r="B115" s="265" t="s">
        <v>393</v>
      </c>
      <c r="C115" s="265" t="s">
        <v>490</v>
      </c>
    </row>
    <row r="116" spans="1:3" x14ac:dyDescent="0.25">
      <c r="A116" s="265">
        <v>6</v>
      </c>
      <c r="B116" s="265" t="s">
        <v>394</v>
      </c>
      <c r="C116" s="265" t="s">
        <v>490</v>
      </c>
    </row>
    <row r="117" spans="1:3" x14ac:dyDescent="0.25">
      <c r="A117" s="265">
        <v>6</v>
      </c>
      <c r="B117" s="265" t="s">
        <v>395</v>
      </c>
      <c r="C117" s="265" t="s">
        <v>490</v>
      </c>
    </row>
    <row r="118" spans="1:3" x14ac:dyDescent="0.25">
      <c r="A118" s="265">
        <v>6</v>
      </c>
      <c r="B118" s="265" t="s">
        <v>396</v>
      </c>
      <c r="C118" s="265" t="s">
        <v>490</v>
      </c>
    </row>
    <row r="119" spans="1:3" x14ac:dyDescent="0.25">
      <c r="A119" s="265">
        <v>6</v>
      </c>
      <c r="B119" s="265" t="s">
        <v>397</v>
      </c>
      <c r="C119" s="265" t="s">
        <v>490</v>
      </c>
    </row>
    <row r="120" spans="1:3" x14ac:dyDescent="0.25">
      <c r="A120" s="265">
        <v>6</v>
      </c>
      <c r="B120" s="265" t="s">
        <v>398</v>
      </c>
      <c r="C120" s="265" t="s">
        <v>490</v>
      </c>
    </row>
    <row r="121" spans="1:3" x14ac:dyDescent="0.25">
      <c r="A121" s="265">
        <v>6</v>
      </c>
      <c r="B121" s="265" t="s">
        <v>399</v>
      </c>
      <c r="C121" s="265" t="s">
        <v>490</v>
      </c>
    </row>
    <row r="122" spans="1:3" x14ac:dyDescent="0.25">
      <c r="A122" s="265">
        <v>6</v>
      </c>
      <c r="B122" s="265" t="s">
        <v>400</v>
      </c>
      <c r="C122" s="265" t="s">
        <v>490</v>
      </c>
    </row>
    <row r="123" spans="1:3" x14ac:dyDescent="0.25">
      <c r="A123" s="265">
        <v>6</v>
      </c>
      <c r="B123" s="265" t="s">
        <v>401</v>
      </c>
      <c r="C123" s="265" t="s">
        <v>490</v>
      </c>
    </row>
    <row r="124" spans="1:3" x14ac:dyDescent="0.25">
      <c r="A124" s="265">
        <v>6</v>
      </c>
      <c r="B124" s="265" t="s">
        <v>402</v>
      </c>
      <c r="C124" s="265" t="s">
        <v>490</v>
      </c>
    </row>
    <row r="125" spans="1:3" x14ac:dyDescent="0.25">
      <c r="A125" s="265">
        <v>6</v>
      </c>
      <c r="B125" s="265" t="s">
        <v>403</v>
      </c>
      <c r="C125" s="265" t="s">
        <v>490</v>
      </c>
    </row>
    <row r="126" spans="1:3" x14ac:dyDescent="0.25">
      <c r="A126" s="265">
        <v>6</v>
      </c>
      <c r="B126" s="265" t="s">
        <v>404</v>
      </c>
      <c r="C126" s="265" t="s">
        <v>490</v>
      </c>
    </row>
    <row r="127" spans="1:3" x14ac:dyDescent="0.25">
      <c r="A127" s="265">
        <v>6</v>
      </c>
      <c r="B127" s="265" t="s">
        <v>405</v>
      </c>
      <c r="C127" s="265" t="s">
        <v>490</v>
      </c>
    </row>
    <row r="128" spans="1:3" x14ac:dyDescent="0.25">
      <c r="A128" s="265">
        <v>6</v>
      </c>
      <c r="B128" s="265" t="s">
        <v>406</v>
      </c>
      <c r="C128" s="265" t="s">
        <v>490</v>
      </c>
    </row>
    <row r="129" spans="1:3" x14ac:dyDescent="0.25">
      <c r="A129" s="265">
        <v>6</v>
      </c>
      <c r="B129" s="265" t="s">
        <v>407</v>
      </c>
      <c r="C129" s="265" t="s">
        <v>490</v>
      </c>
    </row>
    <row r="130" spans="1:3" x14ac:dyDescent="0.25">
      <c r="A130" s="265">
        <v>6</v>
      </c>
      <c r="B130" s="265" t="s">
        <v>408</v>
      </c>
      <c r="C130" s="265" t="s">
        <v>490</v>
      </c>
    </row>
    <row r="131" spans="1:3" x14ac:dyDescent="0.25">
      <c r="A131" s="265">
        <v>7</v>
      </c>
      <c r="B131" s="265" t="s">
        <v>409</v>
      </c>
      <c r="C131" s="265" t="s">
        <v>490</v>
      </c>
    </row>
    <row r="132" spans="1:3" x14ac:dyDescent="0.25">
      <c r="A132" s="265">
        <v>7</v>
      </c>
      <c r="B132" s="265" t="s">
        <v>410</v>
      </c>
      <c r="C132" s="265" t="s">
        <v>490</v>
      </c>
    </row>
    <row r="133" spans="1:3" x14ac:dyDescent="0.25">
      <c r="A133" s="265">
        <v>7</v>
      </c>
      <c r="B133" s="265" t="s">
        <v>411</v>
      </c>
      <c r="C133" s="265" t="s">
        <v>490</v>
      </c>
    </row>
    <row r="134" spans="1:3" x14ac:dyDescent="0.25">
      <c r="A134" s="265">
        <v>7</v>
      </c>
      <c r="B134" s="265" t="s">
        <v>412</v>
      </c>
      <c r="C134" s="265" t="s">
        <v>490</v>
      </c>
    </row>
    <row r="135" spans="1:3" x14ac:dyDescent="0.25">
      <c r="A135" s="265">
        <v>7</v>
      </c>
      <c r="B135" s="265" t="s">
        <v>413</v>
      </c>
      <c r="C135" s="265" t="s">
        <v>490</v>
      </c>
    </row>
    <row r="136" spans="1:3" x14ac:dyDescent="0.25">
      <c r="A136" s="265">
        <v>7</v>
      </c>
      <c r="B136" s="265" t="s">
        <v>414</v>
      </c>
      <c r="C136" s="265" t="s">
        <v>490</v>
      </c>
    </row>
    <row r="137" spans="1:3" x14ac:dyDescent="0.25">
      <c r="A137" s="265">
        <v>7</v>
      </c>
      <c r="B137" s="265" t="s">
        <v>415</v>
      </c>
      <c r="C137" s="265" t="s">
        <v>490</v>
      </c>
    </row>
    <row r="138" spans="1:3" x14ac:dyDescent="0.25">
      <c r="A138" s="265">
        <v>7</v>
      </c>
      <c r="B138" s="265" t="s">
        <v>416</v>
      </c>
      <c r="C138" s="265" t="s">
        <v>490</v>
      </c>
    </row>
    <row r="139" spans="1:3" x14ac:dyDescent="0.25">
      <c r="A139" s="265">
        <v>7</v>
      </c>
      <c r="B139" s="265" t="s">
        <v>417</v>
      </c>
      <c r="C139" s="265" t="s">
        <v>490</v>
      </c>
    </row>
    <row r="140" spans="1:3" x14ac:dyDescent="0.25">
      <c r="A140" s="265">
        <v>7</v>
      </c>
      <c r="B140" s="265" t="s">
        <v>418</v>
      </c>
      <c r="C140" s="265" t="s">
        <v>490</v>
      </c>
    </row>
    <row r="141" spans="1:3" x14ac:dyDescent="0.25">
      <c r="A141" s="265">
        <v>7</v>
      </c>
      <c r="B141" s="265" t="s">
        <v>419</v>
      </c>
      <c r="C141" s="265" t="s">
        <v>490</v>
      </c>
    </row>
    <row r="142" spans="1:3" x14ac:dyDescent="0.25">
      <c r="A142" s="265">
        <v>7</v>
      </c>
      <c r="B142" s="265" t="s">
        <v>420</v>
      </c>
      <c r="C142" s="265" t="s">
        <v>490</v>
      </c>
    </row>
    <row r="143" spans="1:3" x14ac:dyDescent="0.25">
      <c r="A143" s="265">
        <v>7</v>
      </c>
      <c r="B143" s="265" t="s">
        <v>421</v>
      </c>
      <c r="C143" s="265" t="s">
        <v>490</v>
      </c>
    </row>
    <row r="144" spans="1:3" x14ac:dyDescent="0.25">
      <c r="A144" s="265">
        <v>7</v>
      </c>
      <c r="B144" s="265" t="s">
        <v>422</v>
      </c>
      <c r="C144" s="265" t="s">
        <v>490</v>
      </c>
    </row>
    <row r="145" spans="1:3" x14ac:dyDescent="0.25">
      <c r="A145" s="265">
        <v>7</v>
      </c>
      <c r="B145" s="265" t="s">
        <v>423</v>
      </c>
      <c r="C145" s="265" t="s">
        <v>490</v>
      </c>
    </row>
    <row r="146" spans="1:3" x14ac:dyDescent="0.25">
      <c r="A146" s="265">
        <v>7</v>
      </c>
      <c r="B146" s="265" t="s">
        <v>424</v>
      </c>
      <c r="C146" s="265" t="s">
        <v>490</v>
      </c>
    </row>
    <row r="147" spans="1:3" x14ac:dyDescent="0.25">
      <c r="A147" s="265">
        <v>7</v>
      </c>
      <c r="B147" s="265" t="s">
        <v>425</v>
      </c>
      <c r="C147" s="265" t="s">
        <v>490</v>
      </c>
    </row>
    <row r="148" spans="1:3" x14ac:dyDescent="0.25">
      <c r="A148" s="265">
        <v>7</v>
      </c>
      <c r="B148" s="265" t="s">
        <v>426</v>
      </c>
      <c r="C148" s="265" t="s">
        <v>490</v>
      </c>
    </row>
    <row r="149" spans="1:3" x14ac:dyDescent="0.25">
      <c r="A149" s="265">
        <v>7</v>
      </c>
      <c r="B149" s="265" t="s">
        <v>427</v>
      </c>
      <c r="C149" s="265" t="s">
        <v>490</v>
      </c>
    </row>
    <row r="150" spans="1:3" x14ac:dyDescent="0.25">
      <c r="A150" s="265">
        <v>7</v>
      </c>
      <c r="B150" s="265" t="s">
        <v>428</v>
      </c>
      <c r="C150" s="265" t="s">
        <v>490</v>
      </c>
    </row>
    <row r="151" spans="1:3" x14ac:dyDescent="0.25">
      <c r="A151" s="265">
        <v>8</v>
      </c>
      <c r="B151" s="265" t="s">
        <v>429</v>
      </c>
      <c r="C151" s="265" t="s">
        <v>490</v>
      </c>
    </row>
    <row r="152" spans="1:3" x14ac:dyDescent="0.25">
      <c r="A152" s="265">
        <v>8</v>
      </c>
      <c r="B152" s="265" t="s">
        <v>430</v>
      </c>
      <c r="C152" s="265" t="s">
        <v>490</v>
      </c>
    </row>
    <row r="153" spans="1:3" x14ac:dyDescent="0.25">
      <c r="A153" s="265">
        <v>8</v>
      </c>
      <c r="B153" s="265" t="s">
        <v>431</v>
      </c>
      <c r="C153" s="265" t="s">
        <v>490</v>
      </c>
    </row>
    <row r="154" spans="1:3" x14ac:dyDescent="0.25">
      <c r="A154" s="265">
        <v>8</v>
      </c>
      <c r="B154" s="265" t="s">
        <v>432</v>
      </c>
      <c r="C154" s="265" t="s">
        <v>490</v>
      </c>
    </row>
    <row r="155" spans="1:3" x14ac:dyDescent="0.25">
      <c r="A155" s="265">
        <v>8</v>
      </c>
      <c r="B155" s="265" t="s">
        <v>433</v>
      </c>
      <c r="C155" s="265" t="s">
        <v>490</v>
      </c>
    </row>
    <row r="156" spans="1:3" x14ac:dyDescent="0.25">
      <c r="A156" s="265">
        <v>8</v>
      </c>
      <c r="B156" s="265" t="s">
        <v>434</v>
      </c>
      <c r="C156" s="265" t="s">
        <v>490</v>
      </c>
    </row>
    <row r="157" spans="1:3" x14ac:dyDescent="0.25">
      <c r="A157" s="265">
        <v>8</v>
      </c>
      <c r="B157" s="265" t="s">
        <v>435</v>
      </c>
      <c r="C157" s="265" t="s">
        <v>490</v>
      </c>
    </row>
    <row r="158" spans="1:3" x14ac:dyDescent="0.25">
      <c r="A158" s="265">
        <v>8</v>
      </c>
      <c r="B158" s="265" t="s">
        <v>436</v>
      </c>
      <c r="C158" s="265" t="s">
        <v>490</v>
      </c>
    </row>
    <row r="159" spans="1:3" x14ac:dyDescent="0.25">
      <c r="A159" s="265">
        <v>8</v>
      </c>
      <c r="B159" s="265" t="s">
        <v>437</v>
      </c>
      <c r="C159" s="265" t="s">
        <v>490</v>
      </c>
    </row>
    <row r="160" spans="1:3" x14ac:dyDescent="0.25">
      <c r="A160" s="265">
        <v>8</v>
      </c>
      <c r="B160" s="265" t="s">
        <v>438</v>
      </c>
      <c r="C160" s="265" t="s">
        <v>490</v>
      </c>
    </row>
    <row r="161" spans="1:3" x14ac:dyDescent="0.25">
      <c r="A161" s="265">
        <v>8</v>
      </c>
      <c r="B161" s="265" t="s">
        <v>439</v>
      </c>
      <c r="C161" s="265" t="s">
        <v>490</v>
      </c>
    </row>
    <row r="162" spans="1:3" x14ac:dyDescent="0.25">
      <c r="A162" s="265">
        <v>8</v>
      </c>
      <c r="B162" s="265" t="s">
        <v>440</v>
      </c>
      <c r="C162" s="265" t="s">
        <v>490</v>
      </c>
    </row>
    <row r="163" spans="1:3" x14ac:dyDescent="0.25">
      <c r="A163" s="265">
        <v>8</v>
      </c>
      <c r="B163" s="265" t="s">
        <v>441</v>
      </c>
      <c r="C163" s="265" t="s">
        <v>490</v>
      </c>
    </row>
    <row r="164" spans="1:3" x14ac:dyDescent="0.25">
      <c r="A164" s="265">
        <v>8</v>
      </c>
      <c r="B164" s="265" t="s">
        <v>442</v>
      </c>
      <c r="C164" s="265" t="s">
        <v>490</v>
      </c>
    </row>
    <row r="165" spans="1:3" x14ac:dyDescent="0.25">
      <c r="A165" s="265">
        <v>8</v>
      </c>
      <c r="B165" s="265" t="s">
        <v>443</v>
      </c>
      <c r="C165" s="265" t="s">
        <v>490</v>
      </c>
    </row>
    <row r="166" spans="1:3" x14ac:dyDescent="0.25">
      <c r="A166" s="265">
        <v>8</v>
      </c>
      <c r="B166" s="265" t="s">
        <v>444</v>
      </c>
      <c r="C166" s="265" t="s">
        <v>490</v>
      </c>
    </row>
    <row r="167" spans="1:3" x14ac:dyDescent="0.25">
      <c r="A167" s="265">
        <v>8</v>
      </c>
      <c r="B167" s="265" t="s">
        <v>445</v>
      </c>
      <c r="C167" s="265" t="s">
        <v>490</v>
      </c>
    </row>
    <row r="168" spans="1:3" x14ac:dyDescent="0.25">
      <c r="A168" s="265">
        <v>8</v>
      </c>
      <c r="B168" s="265" t="s">
        <v>446</v>
      </c>
      <c r="C168" s="265" t="s">
        <v>490</v>
      </c>
    </row>
    <row r="169" spans="1:3" x14ac:dyDescent="0.25">
      <c r="A169" s="265">
        <v>8</v>
      </c>
      <c r="B169" s="265" t="s">
        <v>447</v>
      </c>
      <c r="C169" s="265" t="s">
        <v>490</v>
      </c>
    </row>
    <row r="170" spans="1:3" x14ac:dyDescent="0.25">
      <c r="A170" s="265">
        <v>8</v>
      </c>
      <c r="B170" s="265" t="s">
        <v>448</v>
      </c>
      <c r="C170" s="265" t="s">
        <v>490</v>
      </c>
    </row>
    <row r="171" spans="1:3" x14ac:dyDescent="0.25">
      <c r="A171" s="265">
        <v>9</v>
      </c>
      <c r="B171" s="265" t="s">
        <v>449</v>
      </c>
      <c r="C171" s="265" t="s">
        <v>490</v>
      </c>
    </row>
    <row r="172" spans="1:3" x14ac:dyDescent="0.25">
      <c r="A172" s="265">
        <v>9</v>
      </c>
      <c r="B172" s="265" t="s">
        <v>450</v>
      </c>
      <c r="C172" s="265" t="s">
        <v>490</v>
      </c>
    </row>
    <row r="173" spans="1:3" x14ac:dyDescent="0.25">
      <c r="A173" s="265">
        <v>9</v>
      </c>
      <c r="B173" s="265" t="s">
        <v>451</v>
      </c>
      <c r="C173" s="265" t="s">
        <v>490</v>
      </c>
    </row>
    <row r="174" spans="1:3" x14ac:dyDescent="0.25">
      <c r="A174" s="265">
        <v>9</v>
      </c>
      <c r="B174" s="265" t="s">
        <v>452</v>
      </c>
      <c r="C174" s="265" t="s">
        <v>490</v>
      </c>
    </row>
    <row r="175" spans="1:3" x14ac:dyDescent="0.25">
      <c r="A175" s="265">
        <v>9</v>
      </c>
      <c r="B175" s="265" t="s">
        <v>453</v>
      </c>
      <c r="C175" s="265" t="s">
        <v>490</v>
      </c>
    </row>
    <row r="176" spans="1:3" x14ac:dyDescent="0.25">
      <c r="A176" s="265">
        <v>9</v>
      </c>
      <c r="B176" s="265" t="s">
        <v>454</v>
      </c>
      <c r="C176" s="265" t="s">
        <v>490</v>
      </c>
    </row>
    <row r="177" spans="1:3" x14ac:dyDescent="0.25">
      <c r="A177" s="265">
        <v>9</v>
      </c>
      <c r="B177" s="265" t="s">
        <v>455</v>
      </c>
      <c r="C177" s="265" t="s">
        <v>490</v>
      </c>
    </row>
    <row r="178" spans="1:3" x14ac:dyDescent="0.25">
      <c r="A178" s="265">
        <v>9</v>
      </c>
      <c r="B178" s="265" t="s">
        <v>456</v>
      </c>
      <c r="C178" s="265" t="s">
        <v>490</v>
      </c>
    </row>
    <row r="179" spans="1:3" x14ac:dyDescent="0.25">
      <c r="A179" s="265">
        <v>9</v>
      </c>
      <c r="B179" s="265" t="s">
        <v>457</v>
      </c>
      <c r="C179" s="265" t="s">
        <v>490</v>
      </c>
    </row>
    <row r="180" spans="1:3" x14ac:dyDescent="0.25">
      <c r="A180" s="265">
        <v>9</v>
      </c>
      <c r="B180" s="265" t="s">
        <v>458</v>
      </c>
      <c r="C180" s="265" t="s">
        <v>490</v>
      </c>
    </row>
    <row r="181" spans="1:3" x14ac:dyDescent="0.25">
      <c r="A181" s="265">
        <v>9</v>
      </c>
      <c r="B181" s="265" t="s">
        <v>459</v>
      </c>
      <c r="C181" s="265" t="s">
        <v>490</v>
      </c>
    </row>
    <row r="182" spans="1:3" x14ac:dyDescent="0.25">
      <c r="A182" s="265">
        <v>9</v>
      </c>
      <c r="B182" s="265" t="s">
        <v>460</v>
      </c>
      <c r="C182" s="265" t="s">
        <v>490</v>
      </c>
    </row>
    <row r="183" spans="1:3" x14ac:dyDescent="0.25">
      <c r="A183" s="265">
        <v>9</v>
      </c>
      <c r="B183" s="265" t="s">
        <v>461</v>
      </c>
      <c r="C183" s="265" t="s">
        <v>490</v>
      </c>
    </row>
    <row r="184" spans="1:3" x14ac:dyDescent="0.25">
      <c r="A184" s="265">
        <v>9</v>
      </c>
      <c r="B184" s="265" t="s">
        <v>462</v>
      </c>
      <c r="C184" s="265" t="s">
        <v>490</v>
      </c>
    </row>
    <row r="185" spans="1:3" x14ac:dyDescent="0.25">
      <c r="A185" s="265">
        <v>9</v>
      </c>
      <c r="B185" s="265" t="s">
        <v>463</v>
      </c>
      <c r="C185" s="265" t="s">
        <v>490</v>
      </c>
    </row>
    <row r="186" spans="1:3" x14ac:dyDescent="0.25">
      <c r="A186" s="265">
        <v>9</v>
      </c>
      <c r="B186" s="265" t="s">
        <v>464</v>
      </c>
      <c r="C186" s="265" t="s">
        <v>490</v>
      </c>
    </row>
    <row r="187" spans="1:3" x14ac:dyDescent="0.25">
      <c r="A187" s="265">
        <v>9</v>
      </c>
      <c r="B187" s="265" t="s">
        <v>465</v>
      </c>
      <c r="C187" s="265" t="s">
        <v>490</v>
      </c>
    </row>
    <row r="188" spans="1:3" x14ac:dyDescent="0.25">
      <c r="A188" s="265">
        <v>9</v>
      </c>
      <c r="B188" s="265" t="s">
        <v>466</v>
      </c>
      <c r="C188" s="265" t="s">
        <v>490</v>
      </c>
    </row>
    <row r="189" spans="1:3" x14ac:dyDescent="0.25">
      <c r="A189" s="265">
        <v>9</v>
      </c>
      <c r="B189" s="265" t="s">
        <v>467</v>
      </c>
      <c r="C189" s="265" t="s">
        <v>490</v>
      </c>
    </row>
    <row r="190" spans="1:3" x14ac:dyDescent="0.25">
      <c r="A190" s="265">
        <v>9</v>
      </c>
      <c r="B190" s="265" t="s">
        <v>468</v>
      </c>
      <c r="C190" s="265" t="s">
        <v>490</v>
      </c>
    </row>
    <row r="191" spans="1:3" x14ac:dyDescent="0.25">
      <c r="A191" s="265">
        <v>10</v>
      </c>
      <c r="B191" s="265" t="s">
        <v>469</v>
      </c>
      <c r="C191" s="265" t="s">
        <v>490</v>
      </c>
    </row>
    <row r="192" spans="1:3" x14ac:dyDescent="0.25">
      <c r="A192" s="265">
        <v>10</v>
      </c>
      <c r="B192" s="265" t="s">
        <v>470</v>
      </c>
      <c r="C192" s="265" t="s">
        <v>490</v>
      </c>
    </row>
    <row r="193" spans="1:3" x14ac:dyDescent="0.25">
      <c r="A193" s="265">
        <v>10</v>
      </c>
      <c r="B193" s="265" t="s">
        <v>471</v>
      </c>
      <c r="C193" s="265" t="s">
        <v>490</v>
      </c>
    </row>
    <row r="194" spans="1:3" x14ac:dyDescent="0.25">
      <c r="A194" s="265">
        <v>10</v>
      </c>
      <c r="B194" s="265" t="s">
        <v>472</v>
      </c>
      <c r="C194" s="265" t="s">
        <v>490</v>
      </c>
    </row>
    <row r="195" spans="1:3" x14ac:dyDescent="0.25">
      <c r="A195" s="265">
        <v>10</v>
      </c>
      <c r="B195" s="265" t="s">
        <v>473</v>
      </c>
      <c r="C195" s="265" t="s">
        <v>490</v>
      </c>
    </row>
    <row r="196" spans="1:3" x14ac:dyDescent="0.25">
      <c r="A196" s="265">
        <v>10</v>
      </c>
      <c r="B196" s="265" t="s">
        <v>474</v>
      </c>
      <c r="C196" s="265" t="s">
        <v>490</v>
      </c>
    </row>
    <row r="197" spans="1:3" x14ac:dyDescent="0.25">
      <c r="A197" s="265">
        <v>10</v>
      </c>
      <c r="B197" s="265" t="s">
        <v>475</v>
      </c>
      <c r="C197" s="265" t="s">
        <v>490</v>
      </c>
    </row>
    <row r="198" spans="1:3" x14ac:dyDescent="0.25">
      <c r="A198" s="265">
        <v>10</v>
      </c>
      <c r="B198" s="265" t="s">
        <v>476</v>
      </c>
      <c r="C198" s="265" t="s">
        <v>490</v>
      </c>
    </row>
    <row r="199" spans="1:3" x14ac:dyDescent="0.25">
      <c r="A199" s="265">
        <v>10</v>
      </c>
      <c r="B199" s="265" t="s">
        <v>477</v>
      </c>
      <c r="C199" s="265" t="s">
        <v>490</v>
      </c>
    </row>
    <row r="200" spans="1:3" x14ac:dyDescent="0.25">
      <c r="A200" s="265">
        <v>10</v>
      </c>
      <c r="B200" s="265" t="s">
        <v>478</v>
      </c>
      <c r="C200" s="265" t="s">
        <v>490</v>
      </c>
    </row>
    <row r="201" spans="1:3" x14ac:dyDescent="0.25">
      <c r="A201" s="265">
        <v>10</v>
      </c>
      <c r="B201" s="265" t="s">
        <v>479</v>
      </c>
      <c r="C201" s="265" t="s">
        <v>490</v>
      </c>
    </row>
    <row r="202" spans="1:3" x14ac:dyDescent="0.25">
      <c r="A202" s="265">
        <v>10</v>
      </c>
      <c r="B202" s="265" t="s">
        <v>480</v>
      </c>
      <c r="C202" s="265" t="s">
        <v>490</v>
      </c>
    </row>
    <row r="203" spans="1:3" x14ac:dyDescent="0.25">
      <c r="A203" s="265">
        <v>10</v>
      </c>
      <c r="B203" s="265" t="s">
        <v>481</v>
      </c>
      <c r="C203" s="265" t="s">
        <v>490</v>
      </c>
    </row>
    <row r="204" spans="1:3" x14ac:dyDescent="0.25">
      <c r="A204" s="265">
        <v>10</v>
      </c>
      <c r="B204" s="265" t="s">
        <v>482</v>
      </c>
      <c r="C204" s="265" t="s">
        <v>490</v>
      </c>
    </row>
    <row r="205" spans="1:3" x14ac:dyDescent="0.25">
      <c r="A205" s="265">
        <v>10</v>
      </c>
      <c r="B205" s="265" t="s">
        <v>483</v>
      </c>
      <c r="C205" s="265" t="s">
        <v>490</v>
      </c>
    </row>
    <row r="206" spans="1:3" x14ac:dyDescent="0.25">
      <c r="A206" s="265">
        <v>10</v>
      </c>
      <c r="B206" s="265" t="s">
        <v>484</v>
      </c>
      <c r="C206" s="265" t="s">
        <v>490</v>
      </c>
    </row>
    <row r="207" spans="1:3" x14ac:dyDescent="0.25">
      <c r="A207" s="265">
        <v>10</v>
      </c>
      <c r="B207" s="265" t="s">
        <v>485</v>
      </c>
      <c r="C207" s="265" t="s">
        <v>490</v>
      </c>
    </row>
    <row r="208" spans="1:3" x14ac:dyDescent="0.25">
      <c r="A208" s="265">
        <v>10</v>
      </c>
      <c r="B208" s="265" t="s">
        <v>486</v>
      </c>
      <c r="C208" s="265" t="s">
        <v>490</v>
      </c>
    </row>
    <row r="209" spans="1:3" x14ac:dyDescent="0.25">
      <c r="A209" s="265">
        <v>10</v>
      </c>
      <c r="B209" s="265" t="s">
        <v>487</v>
      </c>
      <c r="C209" s="265" t="s">
        <v>490</v>
      </c>
    </row>
    <row r="210" spans="1:3" x14ac:dyDescent="0.25">
      <c r="A210" s="265">
        <v>10</v>
      </c>
      <c r="B210" s="265" t="s">
        <v>488</v>
      </c>
      <c r="C210" s="265" t="s">
        <v>490</v>
      </c>
    </row>
  </sheetData>
  <mergeCells count="20">
    <mergeCell ref="AO1:AV1"/>
    <mergeCell ref="A1:H1"/>
    <mergeCell ref="I1:P1"/>
    <mergeCell ref="Q1:X1"/>
    <mergeCell ref="Y1:AF1"/>
    <mergeCell ref="AG1:AN1"/>
    <mergeCell ref="A2:B2"/>
    <mergeCell ref="A3:B3"/>
    <mergeCell ref="F9:G9"/>
    <mergeCell ref="F10:G10"/>
    <mergeCell ref="F11:G11"/>
    <mergeCell ref="F18:G18"/>
    <mergeCell ref="F19:G19"/>
    <mergeCell ref="F20:G20"/>
    <mergeCell ref="F12:G12"/>
    <mergeCell ref="F13:G13"/>
    <mergeCell ref="F14:G14"/>
    <mergeCell ref="F15:G15"/>
    <mergeCell ref="F16:G16"/>
    <mergeCell ref="F17:G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read_file_btn">
              <controlPr defaultSize="0" print="0" autoFill="0" autoPict="0" macro="[0]!classify_DTW">
                <anchor moveWithCells="1" sizeWithCells="1">
                  <from>
                    <xdr:col>10</xdr:col>
                    <xdr:colOff>228600</xdr:colOff>
                    <xdr:row>3</xdr:row>
                    <xdr:rowOff>28575</xdr:rowOff>
                  </from>
                  <to>
                    <xdr:col>13</xdr:col>
                    <xdr:colOff>76200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B9494-858F-4C41-AB53-6BF48C89E891}">
  <sheetPr codeName="Sheet1">
    <tabColor rgb="FF5DB82E"/>
  </sheetPr>
  <dimension ref="A1:C26"/>
  <sheetViews>
    <sheetView workbookViewId="0">
      <pane ySplit="1" topLeftCell="A2" activePane="bottomLeft" state="frozen"/>
      <selection activeCell="A14" sqref="A14"/>
      <selection pane="bottomLeft"/>
    </sheetView>
  </sheetViews>
  <sheetFormatPr defaultColWidth="10.28515625" defaultRowHeight="12.75" x14ac:dyDescent="0.2"/>
  <cols>
    <col min="1" max="1" width="13.85546875" style="276" customWidth="1"/>
    <col min="2" max="2" width="18.85546875" style="276" customWidth="1"/>
    <col min="3" max="3" width="91.42578125" style="276" customWidth="1"/>
    <col min="4" max="16384" width="10.28515625" style="276"/>
  </cols>
  <sheetData>
    <row r="1" spans="1:3" ht="13.5" x14ac:dyDescent="0.2">
      <c r="A1" s="273" t="s">
        <v>273</v>
      </c>
      <c r="B1" s="274" t="s">
        <v>274</v>
      </c>
      <c r="C1" s="275" t="s">
        <v>275</v>
      </c>
    </row>
    <row r="2" spans="1:3" ht="89.25" x14ac:dyDescent="0.2">
      <c r="A2" s="277" t="s">
        <v>272</v>
      </c>
      <c r="B2" s="278">
        <v>45392</v>
      </c>
      <c r="C2" s="279" t="s">
        <v>495</v>
      </c>
    </row>
    <row r="3" spans="1:3" ht="41.25" x14ac:dyDescent="0.2">
      <c r="A3" s="277" t="s">
        <v>496</v>
      </c>
      <c r="B3" s="278">
        <v>45481</v>
      </c>
      <c r="C3" s="279" t="s">
        <v>501</v>
      </c>
    </row>
    <row r="4" spans="1:3" ht="13.5" x14ac:dyDescent="0.2">
      <c r="A4" s="280"/>
      <c r="B4" s="278"/>
      <c r="C4" s="279"/>
    </row>
    <row r="5" spans="1:3" ht="13.5" x14ac:dyDescent="0.2">
      <c r="A5" s="280"/>
      <c r="B5" s="278"/>
      <c r="C5" s="279"/>
    </row>
    <row r="6" spans="1:3" ht="13.5" x14ac:dyDescent="0.2">
      <c r="A6" s="280"/>
      <c r="B6" s="278"/>
      <c r="C6" s="279"/>
    </row>
    <row r="7" spans="1:3" ht="13.5" x14ac:dyDescent="0.2">
      <c r="A7" s="277"/>
      <c r="B7" s="278"/>
      <c r="C7" s="279"/>
    </row>
    <row r="8" spans="1:3" ht="13.5" x14ac:dyDescent="0.2">
      <c r="A8" s="277"/>
      <c r="B8" s="278"/>
      <c r="C8" s="279"/>
    </row>
    <row r="9" spans="1:3" ht="13.5" x14ac:dyDescent="0.2">
      <c r="A9" s="277"/>
      <c r="B9" s="281"/>
      <c r="C9" s="279"/>
    </row>
    <row r="10" spans="1:3" ht="13.5" x14ac:dyDescent="0.2">
      <c r="A10" s="277"/>
      <c r="B10" s="281"/>
      <c r="C10" s="279"/>
    </row>
    <row r="11" spans="1:3" ht="13.5" x14ac:dyDescent="0.2">
      <c r="A11" s="277"/>
      <c r="B11" s="281"/>
      <c r="C11" s="279"/>
    </row>
    <row r="12" spans="1:3" ht="13.5" x14ac:dyDescent="0.2">
      <c r="A12" s="277"/>
      <c r="B12" s="281"/>
      <c r="C12" s="279"/>
    </row>
    <row r="13" spans="1:3" ht="13.5" x14ac:dyDescent="0.2">
      <c r="A13" s="277"/>
      <c r="B13" s="281"/>
      <c r="C13" s="279"/>
    </row>
    <row r="14" spans="1:3" ht="13.5" x14ac:dyDescent="0.2">
      <c r="A14" s="277"/>
      <c r="B14" s="281"/>
      <c r="C14" s="279"/>
    </row>
    <row r="15" spans="1:3" ht="13.5" x14ac:dyDescent="0.2">
      <c r="A15" s="277"/>
      <c r="B15" s="281"/>
      <c r="C15" s="279"/>
    </row>
    <row r="16" spans="1:3" ht="13.5" x14ac:dyDescent="0.2">
      <c r="A16" s="277"/>
      <c r="B16" s="281"/>
      <c r="C16" s="279"/>
    </row>
    <row r="17" spans="1:3" ht="13.5" x14ac:dyDescent="0.2">
      <c r="A17" s="277"/>
      <c r="B17" s="281"/>
      <c r="C17" s="279"/>
    </row>
    <row r="18" spans="1:3" ht="13.5" x14ac:dyDescent="0.2">
      <c r="A18" s="277"/>
      <c r="B18" s="281"/>
      <c r="C18" s="279"/>
    </row>
    <row r="19" spans="1:3" ht="13.5" x14ac:dyDescent="0.2">
      <c r="A19" s="277"/>
      <c r="B19" s="281"/>
      <c r="C19" s="279"/>
    </row>
    <row r="20" spans="1:3" ht="13.5" x14ac:dyDescent="0.2">
      <c r="A20" s="277"/>
      <c r="B20" s="281"/>
      <c r="C20" s="279"/>
    </row>
    <row r="21" spans="1:3" ht="13.5" x14ac:dyDescent="0.2">
      <c r="A21" s="277"/>
      <c r="B21" s="281"/>
      <c r="C21" s="279"/>
    </row>
    <row r="22" spans="1:3" ht="13.5" x14ac:dyDescent="0.2">
      <c r="A22" s="277"/>
      <c r="B22" s="281"/>
      <c r="C22" s="279"/>
    </row>
    <row r="23" spans="1:3" ht="13.5" x14ac:dyDescent="0.2">
      <c r="A23" s="277"/>
      <c r="B23" s="281"/>
      <c r="C23" s="279"/>
    </row>
    <row r="24" spans="1:3" ht="13.5" x14ac:dyDescent="0.2">
      <c r="A24" s="277"/>
      <c r="B24" s="281"/>
      <c r="C24" s="279"/>
    </row>
    <row r="25" spans="1:3" ht="13.5" x14ac:dyDescent="0.2">
      <c r="A25" s="277"/>
      <c r="B25" s="281"/>
      <c r="C25" s="279"/>
    </row>
    <row r="26" spans="1:3" ht="13.5" x14ac:dyDescent="0.2">
      <c r="A26" s="277"/>
      <c r="B26" s="281"/>
      <c r="C26" s="279"/>
    </row>
  </sheetData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56444-BE49-42C7-88ED-4A391D30B468}">
  <sheetPr codeName="Sheet2">
    <tabColor rgb="FF5DB82E"/>
  </sheetPr>
  <dimension ref="A1:E19"/>
  <sheetViews>
    <sheetView workbookViewId="0"/>
  </sheetViews>
  <sheetFormatPr defaultColWidth="10.28515625" defaultRowHeight="12.75" x14ac:dyDescent="0.2"/>
  <cols>
    <col min="1" max="1" width="6.42578125" style="276" customWidth="1"/>
    <col min="2" max="2" width="71.140625" style="276" customWidth="1"/>
    <col min="3" max="3" width="61.85546875" style="276" customWidth="1"/>
    <col min="4" max="5" width="12.140625" style="276" customWidth="1"/>
    <col min="6" max="16384" width="10.28515625" style="276"/>
  </cols>
  <sheetData>
    <row r="1" spans="1:5" ht="13.5" x14ac:dyDescent="0.2">
      <c r="A1" s="273" t="s">
        <v>271</v>
      </c>
      <c r="B1" s="282" t="s">
        <v>276</v>
      </c>
      <c r="C1" s="274" t="s">
        <v>277</v>
      </c>
      <c r="D1" s="273" t="s">
        <v>278</v>
      </c>
      <c r="E1" s="273" t="s">
        <v>287</v>
      </c>
    </row>
    <row r="2" spans="1:5" ht="15" x14ac:dyDescent="0.2">
      <c r="A2" s="283">
        <v>1</v>
      </c>
      <c r="B2" s="284" t="s">
        <v>279</v>
      </c>
      <c r="C2" s="285" t="s">
        <v>281</v>
      </c>
      <c r="D2" s="286">
        <v>2018</v>
      </c>
      <c r="E2" s="289" t="s">
        <v>288</v>
      </c>
    </row>
    <row r="3" spans="1:5" ht="15" x14ac:dyDescent="0.2">
      <c r="A3" s="283">
        <v>2</v>
      </c>
      <c r="B3" s="284" t="s">
        <v>280</v>
      </c>
      <c r="C3" s="285" t="s">
        <v>282</v>
      </c>
      <c r="D3" s="286">
        <v>2016</v>
      </c>
      <c r="E3" s="289" t="s">
        <v>288</v>
      </c>
    </row>
    <row r="4" spans="1:5" x14ac:dyDescent="0.2">
      <c r="A4" s="286">
        <v>3</v>
      </c>
      <c r="B4" s="284" t="s">
        <v>283</v>
      </c>
      <c r="C4" s="287" t="s">
        <v>284</v>
      </c>
      <c r="D4" s="286">
        <v>2024</v>
      </c>
      <c r="E4" s="286"/>
    </row>
    <row r="5" spans="1:5" ht="15" x14ac:dyDescent="0.2">
      <c r="A5" s="286">
        <v>4</v>
      </c>
      <c r="B5" s="284" t="s">
        <v>286</v>
      </c>
      <c r="C5" s="287" t="s">
        <v>285</v>
      </c>
      <c r="D5" s="286">
        <v>2009</v>
      </c>
      <c r="E5" s="289" t="s">
        <v>288</v>
      </c>
    </row>
    <row r="6" spans="1:5" x14ac:dyDescent="0.2">
      <c r="A6" s="286"/>
      <c r="B6" s="284"/>
      <c r="C6" s="287"/>
      <c r="D6" s="286"/>
      <c r="E6" s="286"/>
    </row>
    <row r="7" spans="1:5" x14ac:dyDescent="0.2">
      <c r="A7" s="286"/>
      <c r="B7" s="284"/>
      <c r="C7" s="285"/>
      <c r="D7" s="286"/>
      <c r="E7" s="286"/>
    </row>
    <row r="8" spans="1:5" x14ac:dyDescent="0.2">
      <c r="A8" s="286"/>
      <c r="B8" s="284"/>
      <c r="C8" s="287"/>
      <c r="D8" s="286"/>
      <c r="E8" s="286"/>
    </row>
    <row r="9" spans="1:5" x14ac:dyDescent="0.2">
      <c r="A9" s="286"/>
      <c r="B9" s="284"/>
      <c r="C9" s="285"/>
      <c r="D9" s="286"/>
      <c r="E9" s="286"/>
    </row>
    <row r="10" spans="1:5" x14ac:dyDescent="0.2">
      <c r="A10" s="286"/>
      <c r="B10" s="284"/>
      <c r="C10" s="287"/>
      <c r="D10" s="286"/>
      <c r="E10" s="286"/>
    </row>
    <row r="11" spans="1:5" x14ac:dyDescent="0.2">
      <c r="A11" s="286"/>
      <c r="B11" s="284"/>
      <c r="C11" s="285"/>
      <c r="D11" s="286"/>
      <c r="E11" s="286"/>
    </row>
    <row r="12" spans="1:5" x14ac:dyDescent="0.2">
      <c r="A12" s="286"/>
      <c r="B12" s="284"/>
      <c r="C12" s="285"/>
      <c r="D12" s="286"/>
      <c r="E12" s="286"/>
    </row>
    <row r="13" spans="1:5" x14ac:dyDescent="0.2">
      <c r="A13" s="286"/>
      <c r="B13" s="284"/>
      <c r="C13" s="287"/>
      <c r="D13" s="286"/>
      <c r="E13" s="286"/>
    </row>
    <row r="14" spans="1:5" x14ac:dyDescent="0.2">
      <c r="A14" s="286"/>
      <c r="B14" s="284"/>
      <c r="C14" s="287"/>
      <c r="D14" s="286"/>
      <c r="E14" s="286"/>
    </row>
    <row r="15" spans="1:5" x14ac:dyDescent="0.2">
      <c r="A15" s="286"/>
      <c r="B15" s="284"/>
      <c r="C15" s="287"/>
      <c r="D15" s="286"/>
      <c r="E15" s="286"/>
    </row>
    <row r="16" spans="1:5" x14ac:dyDescent="0.2">
      <c r="A16" s="286"/>
      <c r="B16" s="284"/>
      <c r="C16" s="287"/>
      <c r="D16" s="286"/>
      <c r="E16" s="286"/>
    </row>
    <row r="17" spans="1:5" x14ac:dyDescent="0.2">
      <c r="A17" s="286"/>
      <c r="B17" s="284"/>
      <c r="C17" s="287"/>
      <c r="D17" s="286"/>
      <c r="E17" s="286"/>
    </row>
    <row r="18" spans="1:5" x14ac:dyDescent="0.2">
      <c r="A18" s="286"/>
      <c r="B18" s="284"/>
      <c r="C18" s="287"/>
      <c r="D18" s="286"/>
      <c r="E18" s="286"/>
    </row>
    <row r="19" spans="1:5" x14ac:dyDescent="0.2">
      <c r="A19" s="286"/>
      <c r="B19" s="284"/>
      <c r="C19" s="287"/>
      <c r="D19" s="286"/>
      <c r="E19" s="286"/>
    </row>
  </sheetData>
  <hyperlinks>
    <hyperlink ref="E2" r:id="rId1" xr:uid="{941BEC07-ABD1-45D5-82A1-EA818447A790}"/>
    <hyperlink ref="E3" r:id="rId2" xr:uid="{B408D8A4-3585-4DCA-8143-0768F71B83AE}"/>
    <hyperlink ref="E5" r:id="rId3" xr:uid="{6B2324C3-B036-4F08-A602-EA5E2F17CE1C}"/>
  </hyperlinks>
  <pageMargins left="0.7" right="0.7" top="0.75" bottom="0.75" header="0.3" footer="0.3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</vt:i4>
      </vt:variant>
    </vt:vector>
  </HeadingPairs>
  <TitlesOfParts>
    <vt:vector size="17" baseType="lpstr">
      <vt:lpstr>General</vt:lpstr>
      <vt:lpstr>1.Stresses</vt:lpstr>
      <vt:lpstr>2.Profile</vt:lpstr>
      <vt:lpstr>3.Valsson et al.'24-chart</vt:lpstr>
      <vt:lpstr>4.Valsson et al.'24-dtw</vt:lpstr>
      <vt:lpstr>Calculations</vt:lpstr>
      <vt:lpstr>Interpolation</vt:lpstr>
      <vt:lpstr>2D Classification</vt:lpstr>
      <vt:lpstr>DTW Classification</vt:lpstr>
      <vt:lpstr>2D class-methods</vt:lpstr>
      <vt:lpstr>DTW class-methods</vt:lpstr>
      <vt:lpstr>Version</vt:lpstr>
      <vt:lpstr>References</vt:lpstr>
      <vt:lpstr>'1.Stresses'!Print_Area</vt:lpstr>
      <vt:lpstr>'2.Profile'!Print_Area</vt:lpstr>
      <vt:lpstr>'3.Valsson et al.''24-chart'!Print_Area</vt:lpstr>
      <vt:lpstr>'4.Valsson et al.''24-dtw'!Print_Area</vt:lpstr>
    </vt:vector>
  </TitlesOfParts>
  <Company>Statens vegvesen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Sigurdur Mar Valsson</dc:creator>
  <cp:lastModifiedBy>Sigurdur Mar Valsson</cp:lastModifiedBy>
  <cp:lastPrinted>2024-04-05T07:00:29Z</cp:lastPrinted>
  <dcterms:created xsi:type="dcterms:W3CDTF">2024-03-24T09:27:15Z</dcterms:created>
  <dcterms:modified xsi:type="dcterms:W3CDTF">2024-07-08T10:30:17Z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eae731-f11e-4017-952e-3dce43580afc_Enabled">
    <vt:lpwstr>true</vt:lpwstr>
  </property>
  <property fmtid="{D5CDD505-2E9C-101B-9397-08002B2CF9AE}" pid="3" name="MSIP_Label_86eae731-f11e-4017-952e-3dce43580afc_SetDate">
    <vt:lpwstr>2024-03-24T09:27:47Z</vt:lpwstr>
  </property>
  <property fmtid="{D5CDD505-2E9C-101B-9397-08002B2CF9AE}" pid="4" name="MSIP_Label_86eae731-f11e-4017-952e-3dce43580afc_Method">
    <vt:lpwstr>Privileged</vt:lpwstr>
  </property>
  <property fmtid="{D5CDD505-2E9C-101B-9397-08002B2CF9AE}" pid="5" name="MSIP_Label_86eae731-f11e-4017-952e-3dce43580afc_Name">
    <vt:lpwstr>Public-new</vt:lpwstr>
  </property>
  <property fmtid="{D5CDD505-2E9C-101B-9397-08002B2CF9AE}" pid="6" name="MSIP_Label_86eae731-f11e-4017-952e-3dce43580afc_SiteId">
    <vt:lpwstr>38856954-ed55-49f7-8bdd-738ffbbfd390</vt:lpwstr>
  </property>
  <property fmtid="{D5CDD505-2E9C-101B-9397-08002B2CF9AE}" pid="7" name="MSIP_Label_86eae731-f11e-4017-952e-3dce43580afc_ActionId">
    <vt:lpwstr>3be00a5f-6074-45a0-beea-fb7d9be132f5</vt:lpwstr>
  </property>
  <property fmtid="{D5CDD505-2E9C-101B-9397-08002B2CF9AE}" pid="8" name="MSIP_Label_86eae731-f11e-4017-952e-3dce43580afc_ContentBits">
    <vt:lpwstr>0</vt:lpwstr>
  </property>
</Properties>
</file>